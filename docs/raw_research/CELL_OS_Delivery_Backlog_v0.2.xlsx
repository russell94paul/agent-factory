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539ad536cb47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1eff34027ae45aa"/>
    <x:sheet xmlns:r="http://schemas.openxmlformats.org/officeDocument/2006/relationships" name="Phases" sheetId="2" r:id="Rab430e98df98405a"/>
    <x:sheet xmlns:r="http://schemas.openxmlformats.org/officeDocument/2006/relationships" name="Tickets" sheetId="3" r:id="R6aa3256c9352413e"/>
    <x:sheet xmlns:r="http://schemas.openxmlformats.org/officeDocument/2006/relationships" name="WorkGraph" sheetId="4" r:id="R235dccb98baf442a"/>
    <x:sheet xmlns:r="http://schemas.openxmlformats.org/officeDocument/2006/relationships" name="Linear Bridge" sheetId="5" r:id="R1dcd7c65742a4ae6"/>
    <x:sheet xmlns:r="http://schemas.openxmlformats.org/officeDocument/2006/relationships" name="Research" sheetId="6" r:id="R88994f87e3274366"/>
    <x:sheet xmlns:r="http://schemas.openxmlformats.org/officeDocument/2006/relationships" name="Gates" sheetId="7" r:id="R043eec491efc47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3341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0B1020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d238ef7cce4d95" /><Relationship Type="http://schemas.openxmlformats.org/officeDocument/2006/relationships/theme" Target="/xl/theme/theme1.xml" Id="R46d8b537db214b69" /><Relationship Type="http://schemas.openxmlformats.org/officeDocument/2006/relationships/sharedStrings" Target="/xl/sharedStrings.xml" Id="R603cd73caa2c415f" /><Relationship Type="http://schemas.openxmlformats.org/officeDocument/2006/relationships/worksheet" Target="/xl/worksheets/sheet1.xml" Id="Ra1eff34027ae45aa" /><Relationship Type="http://schemas.openxmlformats.org/officeDocument/2006/relationships/worksheet" Target="/xl/worksheets/sheet2.xml" Id="Rab430e98df98405a" /><Relationship Type="http://schemas.openxmlformats.org/officeDocument/2006/relationships/worksheet" Target="/xl/worksheets/sheet3.xml" Id="R6aa3256c9352413e" /><Relationship Type="http://schemas.openxmlformats.org/officeDocument/2006/relationships/worksheet" Target="/xl/worksheets/sheet4.xml" Id="R235dccb98baf442a" /><Relationship Type="http://schemas.openxmlformats.org/officeDocument/2006/relationships/worksheet" Target="/xl/worksheets/sheet5.xml" Id="R1dcd7c65742a4ae6" /><Relationship Type="http://schemas.openxmlformats.org/officeDocument/2006/relationships/worksheet" Target="/xl/worksheets/sheet6.xml" Id="R88994f87e3274366" /><Relationship Type="http://schemas.openxmlformats.org/officeDocument/2006/relationships/worksheet" Target="/xl/worksheets/sheet7.xml" Id="R043eec491efc478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21600006034440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Tickets by phase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Name</c:v>
          </c:tx>
          <c:cat>
            <c:strRef>
              <c:f>'Dashboard'!$A$13:$A$26</c:f>
              <c:strCache>
                <c:ptCount val="0"/>
              </c:strCache>
            </c:strRef>
          </c:cat>
          <c:val>
            <c:numRef>
              <c:f>'Dashboard'!$B$13:$B$26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Tickets</c:v>
          </c:tx>
          <c:cat>
            <c:strRef>
              <c:f>'Dashboard'!$A$13:$A$26</c:f>
              <c:strCache>
                <c:ptCount val="0"/>
              </c:strCache>
            </c:strRef>
          </c:cat>
          <c:val>
            <c:numRef>
              <c:f>'Dashboard'!$C$13:$C$26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1600006034440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CELLPhases" displayName="CELLPhases" ref="A1:G15" headerRowCount="1" totalsRowCount="0" totalsRowShown="0">
  <x:tableColumns count="7">
    <x:tableColumn id="1" name="Phase"/>
    <x:tableColumn id="2" name="Name"/>
    <x:tableColumn id="3" name="Start Week"/>
    <x:tableColumn id="4" name="End Week"/>
    <x:tableColumn id="5" name="Gate"/>
    <x:tableColumn id="6" name="Exit Criteria"/>
    <x:tableColumn id="7" name="Matur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ELLTickets" displayName="CELLTickets" ref="A1:O201" headerRowCount="1" totalsRowCount="0" totalsRowShown="0">
  <x:tableColumns count="15">
    <x:tableColumn id="1" name="Ticket ID"/>
    <x:tableColumn id="2" name="Phase"/>
    <x:tableColumn id="3" name="Epic"/>
    <x:tableColumn id="4" name="Workstream"/>
    <x:tableColumn id="5" name="Ticket"/>
    <x:tableColumn id="6" name="Type"/>
    <x:tableColumn id="7" name="Priority"/>
    <x:tableColumn id="8" name="Owner Role"/>
    <x:tableColumn id="9" name="Status"/>
    <x:tableColumn id="10" name="Est. Days"/>
    <x:tableColumn id="11" name="Dependencies"/>
    <x:tableColumn id="12" name="Acceptance Criteria"/>
    <x:tableColumn id="13" name="Linear Mapping"/>
    <x:tableColumn id="14" name="Cell Board Permission"/>
    <x:tableColumn id="15" name="Evidence Requir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ELLResearch" displayName="CELLResearch" ref="A1:G11" headerRowCount="1" totalsRowCount="0" totalsRowShown="0">
  <x:tableColumns count="7">
    <x:tableColumn id="1" name="ID"/>
    <x:tableColumn id="2" name="Topic"/>
    <x:tableColumn id="3" name="Question"/>
    <x:tableColumn id="4" name="Priority"/>
    <x:tableColumn id="5" name="Experiment"/>
    <x:tableColumn id="6" name="Primary metrics"/>
    <x:tableColumn id="7" name="Matu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e009348f8714e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9adae2d4784e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e699600a684f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ea470011ff2a450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2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3.200000047683716" hidden="0" customWidth="1"/>
    <x:col min="10" max="10" width="3.200000047683716" hidden="0" customWidth="1"/>
    <x:col min="11" max="11" width="3.200000047683716" hidden="0" customWidth="1"/>
    <x:col min="12" max="12" width="3.200000047683716" hidden="0" customWidth="1"/>
    <x:col min="13" max="13" width="3.200000047683716" hidden="0" customWidth="1"/>
    <x:col min="14" max="14" width="3.200000047683716" hidden="0" customWidth="1"/>
    <x:col min="15" max="15" width="3.200000047683716" hidden="0" customWidth="1"/>
    <x:col min="16" max="16" width="3.200000047683716" hidden="0" customWidth="1"/>
    <x:col min="17" max="17" width="3.200000047683716" hidden="0" customWidth="1"/>
    <x:col min="18" max="18" width="3.200000047683716" hidden="0" customWidth="1"/>
    <x:col min="19" max="19" width="3.200000047683716" hidden="0" customWidth="1"/>
    <x:col min="20" max="20" width="3.200000047683716" hidden="0" customWidth="1"/>
    <x:col min="21" max="21" width="3.200000047683716" hidden="0" customWidth="1"/>
    <x:col min="22" max="22" width="3.200000047683716" hidden="0" customWidth="1"/>
    <x:col min="23" max="23" width="3.200000047683716" hidden="0" customWidth="1"/>
    <x:col min="24" max="24" width="3.200000047683716" hidden="0" customWidth="1"/>
    <x:col min="25" max="25" width="3.200000047683716" hidden="0" customWidth="1"/>
    <x:col min="26" max="26" width="3.200000047683716" hidden="0" customWidth="1"/>
    <x:col min="27" max="27" width="3.200000047683716" hidden="0" customWidth="1"/>
    <x:col min="28" max="28" width="3.200000047683716" hidden="0" customWidth="1"/>
    <x:col min="29" max="29" width="3.200000047683716" hidden="0" customWidth="1"/>
    <x:col min="30" max="30" width="3.200000047683716" hidden="0" customWidth="1"/>
    <x:col min="31" max="31" width="3.200000047683716" hidden="0" customWidth="1"/>
    <x:col min="32" max="32" width="3.200000047683716" hidden="0" customWidth="1"/>
    <x:col min="33" max="33" width="3.200000047683716" hidden="0" customWidth="1"/>
    <x:col min="34" max="34" width="3.200000047683716" hidden="0" customWidth="1"/>
    <x:col min="35" max="35" width="3.200000047683716" hidden="0" customWidth="1"/>
    <x:col min="36" max="36" width="3.200000047683716" hidden="0" customWidth="1"/>
    <x:col min="37" max="37" width="3.200000047683716" hidden="0" customWidth="1"/>
    <x:col min="38" max="38" width="3.200000047683716" hidden="0" customWidth="1"/>
    <x:col min="39" max="39" width="3.200000047683716" hidden="0" customWidth="1"/>
    <x:col min="40" max="40" width="3.200000047683716" hidden="0" customWidth="1"/>
    <x:col min="41" max="41" width="3.200000047683716" hidden="0" customWidth="1"/>
    <x:col min="42" max="42" width="3.200000047683716" hidden="0" customWidth="1"/>
    <x:col min="43" max="43" width="3.200000047683716" hidden="0" customWidth="1"/>
    <x:col min="44" max="44" width="3.200000047683716" hidden="0" customWidth="1"/>
    <x:col min="45" max="45" width="3.200000047683716" hidden="0" customWidth="1"/>
    <x:col min="46" max="46" width="3.200000047683716" hidden="0" customWidth="1"/>
    <x:col min="47" max="47" width="3.200000047683716" hidden="0" customWidth="1"/>
    <x:col min="48" max="48" width="3.200000047683716" hidden="0" customWidth="1"/>
    <x:col min="49" max="49" width="3.200000047683716" hidden="0" customWidth="1"/>
    <x:col min="50" max="50" width="3.200000047683716" hidden="0" customWidth="1"/>
    <x:col min="51" max="51" width="3.200000047683716" hidden="0" customWidth="1"/>
    <x:col min="52" max="52" width="3.200000047683716" hidden="0" customWidth="1"/>
    <x:col min="53" max="53" width="3.200000047683716" hidden="0" customWidth="1"/>
    <x:col min="54" max="54" width="3.200000047683716" hidden="0" customWidth="1"/>
    <x:col min="55" max="55" width="3.200000047683716" hidden="0" customWidth="1"/>
    <x:col min="56" max="56" width="3.200000047683716" hidden="0" customWidth="1"/>
    <x:col min="57" max="57" width="3.200000047683716" hidden="0" customWidth="1"/>
    <x:col min="58" max="58" width="3.200000047683716" hidden="0" customWidth="1"/>
    <x:col min="59" max="59" width="3.200000047683716" hidden="0" customWidth="1"/>
    <x:col min="60" max="60" width="3.200000047683716" hidden="0" customWidth="1"/>
    <x:col min="61" max="61" width="3.200000047683716" hidden="0" customWidth="1"/>
    <x:col min="62" max="62" width="3.200000047683716" hidden="0" customWidth="1"/>
    <x:col min="63" max="63" width="3.200000047683716" hidden="0" customWidth="1"/>
    <x:col min="64" max="64" width="3.200000047683716" hidden="0" customWidth="1"/>
    <x:col min="65" max="65" width="3.200000047683716" hidden="0" customWidth="1"/>
    <x:col min="66" max="66" width="3.200000047683716" hidden="0" customWidth="1"/>
    <x:col min="67" max="67" width="3.200000047683716" hidden="0" customWidth="1"/>
    <x:col min="68" max="68" width="3.200000047683716" hidden="0" customWidth="1"/>
  </x:cols>
  <x:sheetData>
    <x:row r="1" ht="32" customHeight="1">
      <x:c r="A1" s="21" t="str">
        <x:v>CELL OS — Research, Build &amp; Operating Roadmap v0.2</x:v>
      </x:c>
    </x:row>
    <x:row r="3">
      <x:c r="A3" s="5" t="str">
        <x:v>Metric</x:v>
      </x:c>
      <x:c r="B3" s="5" t="str">
        <x:v>Value</x:v>
      </x:c>
      <x:c r="D3" s="5" t="str">
        <x:v>Status</x:v>
      </x:c>
      <x:c r="E3" s="5" t="str">
        <x:v>Count</x:v>
      </x:c>
    </x:row>
    <x:row r="4">
      <x:c r="A4" t="str">
        <x:v>Total tickets</x:v>
      </x:c>
      <x:c r="B4" t="n">
        <x:v>200</x:v>
      </x:c>
      <x:c r="D4" t="str">
        <x:v>Not Started</x:v>
      </x:c>
      <x:c r="E4" t="n">
        <x:f>COUNTIF(Tickets!$I$2:$I$201,D4)</x:f>
        <x:v>200</x:v>
      </x:c>
    </x:row>
    <x:row r="5">
      <x:c r="A5" t="str">
        <x:v>Core phases</x:v>
      </x:c>
      <x:c r="B5" t="n">
        <x:v>8</x:v>
      </x:c>
      <x:c r="D5" t="str">
        <x:v>Ready</x:v>
      </x:c>
      <x:c r="E5" t="n">
        <x:f>COUNTIF(Tickets!$I$2:$I$201,D5)</x:f>
        <x:v>0</x:v>
      </x:c>
    </x:row>
    <x:row r="6">
      <x:c r="A6" t="str">
        <x:v>Research tickets</x:v>
      </x:c>
      <x:c r="B6" t="n">
        <x:v>7</x:v>
      </x:c>
      <x:c r="D6" t="str">
        <x:v>In Progress</x:v>
      </x:c>
      <x:c r="E6" t="n">
        <x:f>COUNTIF(Tickets!$I$2:$I$201,D6)</x:f>
        <x:v>0</x:v>
      </x:c>
    </x:row>
    <x:row r="7">
      <x:c r="A7" t="str">
        <x:v>P0 tickets</x:v>
      </x:c>
      <x:c r="B7" t="n">
        <x:v>171</x:v>
      </x:c>
      <x:c r="D7" t="str">
        <x:v>Blocked</x:v>
      </x:c>
      <x:c r="E7" t="n">
        <x:f>COUNTIF(Tickets!$I$2:$I$201,D7)</x:f>
        <x:v>0</x:v>
      </x:c>
    </x:row>
    <x:row r="8">
      <x:c r="A8" t="str">
        <x:v>Release gates</x:v>
      </x:c>
      <x:c r="B8" t="n">
        <x:v>10</x:v>
      </x:c>
      <x:c r="D8" t="str">
        <x:v>In Review</x:v>
      </x:c>
      <x:c r="E8" t="n">
        <x:f>COUNTIF(Tickets!$I$2:$I$201,D8)</x:f>
        <x:v>0</x:v>
      </x:c>
    </x:row>
    <x:row r="9">
      <x:c r="A9" t="str">
        <x:v>Plan horizon (weeks)</x:v>
      </x:c>
      <x:c r="B9" t="n">
        <x:v>60</x:v>
      </x:c>
      <x:c r="D9" t="str">
        <x:v>Done</x:v>
      </x:c>
      <x:c r="E9" t="n">
        <x:f>COUNTIF(Tickets!$I$2:$I$201,D9)</x:f>
        <x:v>0</x:v>
      </x:c>
    </x:row>
    <x:row r="10">
      <x:c r="D10" t="str">
        <x:v>Cancelled</x:v>
      </x:c>
      <x:c r="E10" t="n">
        <x:f>COUNTIF(Tickets!$I$2:$I$201,D10)</x:f>
        <x:v>0</x:v>
      </x:c>
    </x:row>
    <x:row r="12">
      <x:c r="A12" s="5" t="str">
        <x:v>Phase</x:v>
      </x:c>
      <x:c r="B12" s="5" t="str">
        <x:v>Name</x:v>
      </x:c>
      <x:c r="C12" s="5" t="str">
        <x:v>Tickets</x:v>
      </x:c>
      <x:c r="D12" s="5" t="str">
        <x:v>P0</x:v>
      </x:c>
      <x:c r="E12" s="5" t="str">
        <x:v>Start</x:v>
      </x:c>
      <x:c r="F12" s="5" t="str">
        <x:v>End</x:v>
      </x:c>
      <x:c r="G12" s="5" t="str">
        <x:v>Gate</x:v>
      </x:c>
    </x:row>
    <x:row r="13">
      <x:c r="A13" t="str">
        <x:v>P0</x:v>
      </x:c>
      <x:c r="B13" t="str">
        <x:v>Foundation &amp; Architecture</x:v>
      </x:c>
      <x:c r="C13" t="n">
        <x:f>COUNTIF(Tickets!$B$2:$B$201,A13)</x:f>
        <x:v>10</x:v>
      </x:c>
      <x:c r="D13" t="n">
        <x:f>COUNTIFS(Tickets!$B$2:$B$201,A13,Tickets!$G$2:$G$201,"P0")</x:f>
        <x:v>8</x:v>
      </x:c>
      <x:c r="E13" t="n">
        <x:v>1</x:v>
      </x:c>
      <x:c r="F13" t="n">
        <x:v>4</x:v>
      </x:c>
      <x:c r="G13" t="str">
        <x:v>G0</x:v>
      </x:c>
    </x:row>
    <x:row r="14">
      <x:c r="A14" t="str">
        <x:v>P1</x:v>
      </x:c>
      <x:c r="B14" t="str">
        <x:v>WorkGraph &amp; Mission Contracts</x:v>
      </x:c>
      <x:c r="C14" t="n">
        <x:f>COUNTIF(Tickets!$B$2:$B$201,A14)</x:f>
        <x:v>15</x:v>
      </x:c>
      <x:c r="D14" t="n">
        <x:f>COUNTIFS(Tickets!$B$2:$B$201,A14,Tickets!$G$2:$G$201,"P0")</x:f>
        <x:v>13</x:v>
      </x:c>
      <x:c r="E14" t="n">
        <x:v>3</x:v>
      </x:c>
      <x:c r="F14" t="n">
        <x:v>8</x:v>
      </x:c>
      <x:c r="G14" t="str">
        <x:v>G0</x:v>
      </x:c>
    </x:row>
    <x:row r="15">
      <x:c r="A15" t="str">
        <x:v>P2</x:v>
      </x:c>
      <x:c r="B15" t="str">
        <x:v>Cell Runtime MVP</x:v>
      </x:c>
      <x:c r="C15" t="n">
        <x:f>COUNTIF(Tickets!$B$2:$B$201,A15)</x:f>
        <x:v>15</x:v>
      </x:c>
      <x:c r="D15" t="n">
        <x:f>COUNTIFS(Tickets!$B$2:$B$201,A15,Tickets!$G$2:$G$201,"P0")</x:f>
        <x:v>14</x:v>
      </x:c>
      <x:c r="E15" t="n">
        <x:v>6</x:v>
      </x:c>
      <x:c r="F15" t="n">
        <x:v>14</x:v>
      </x:c>
      <x:c r="G15" t="str">
        <x:v>G1</x:v>
      </x:c>
    </x:row>
    <x:row r="16">
      <x:c r="A16" t="str">
        <x:v>P3</x:v>
      </x:c>
      <x:c r="B16" t="str">
        <x:v>CELL Kernel &amp; Capability Security</x:v>
      </x:c>
      <x:c r="C16" t="n">
        <x:f>COUNTIF(Tickets!$B$2:$B$201,A16)</x:f>
        <x:v>16</x:v>
      </x:c>
      <x:c r="D16" t="n">
        <x:f>COUNTIFS(Tickets!$B$2:$B$201,A16,Tickets!$G$2:$G$201,"P0")</x:f>
        <x:v>16</x:v>
      </x:c>
      <x:c r="E16" t="n">
        <x:v>9</x:v>
      </x:c>
      <x:c r="F16" t="n">
        <x:v>18</x:v>
      </x:c>
      <x:c r="G16" t="str">
        <x:v>G1</x:v>
      </x:c>
    </x:row>
    <x:row r="17">
      <x:c r="A17" t="str">
        <x:v>P4</x:v>
      </x:c>
      <x:c r="B17" t="str">
        <x:v>Mission Control &amp; Mission Board</x:v>
      </x:c>
      <x:c r="C17" t="n">
        <x:f>COUNTIF(Tickets!$B$2:$B$201,A17)</x:f>
        <x:v>17</x:v>
      </x:c>
      <x:c r="D17" t="n">
        <x:f>COUNTIFS(Tickets!$B$2:$B$201,A17,Tickets!$G$2:$G$201,"P0")</x:f>
        <x:v>15</x:v>
      </x:c>
      <x:c r="E17" t="n">
        <x:v>12</x:v>
      </x:c>
      <x:c r="F17" t="n">
        <x:v>22</x:v>
      </x:c>
      <x:c r="G17" t="str">
        <x:v>G2</x:v>
      </x:c>
    </x:row>
    <x:row r="18">
      <x:c r="A18" t="str">
        <x:v>P5</x:v>
      </x:c>
      <x:c r="B18" t="str">
        <x:v>Assurance, Replay &amp; Certification</x:v>
      </x:c>
      <x:c r="C18" t="n">
        <x:f>COUNTIF(Tickets!$B$2:$B$201,A18)</x:f>
        <x:v>15</x:v>
      </x:c>
      <x:c r="D18" t="n">
        <x:f>COUNTIFS(Tickets!$B$2:$B$201,A18,Tickets!$G$2:$G$201,"P0")</x:f>
        <x:v>15</x:v>
      </x:c>
      <x:c r="E18" t="n">
        <x:v>16</x:v>
      </x:c>
      <x:c r="F18" t="n">
        <x:v>27</x:v>
      </x:c>
      <x:c r="G18" t="str">
        <x:v>G3</x:v>
      </x:c>
    </x:row>
    <x:row r="19">
      <x:c r="A19" t="str">
        <x:v>P6</x:v>
      </x:c>
      <x:c r="B19" t="str">
        <x:v>HyperMESH &amp; Context Virtual Memory</x:v>
      </x:c>
      <x:c r="C19" t="n">
        <x:f>COUNTIF(Tickets!$B$2:$B$201,A19)</x:f>
        <x:v>17</x:v>
      </x:c>
      <x:c r="D19" t="n">
        <x:f>COUNTIFS(Tickets!$B$2:$B$201,A19,Tickets!$G$2:$G$201,"P0")</x:f>
        <x:v>16</x:v>
      </x:c>
      <x:c r="E19" t="n">
        <x:v>20</x:v>
      </x:c>
      <x:c r="F19" t="n">
        <x:v>34</x:v>
      </x:c>
      <x:c r="G19" t="str">
        <x:v>G4</x:v>
      </x:c>
    </x:row>
    <x:row r="20">
      <x:c r="A20" t="str">
        <x:v>P7</x:v>
      </x:c>
      <x:c r="B20" t="str">
        <x:v>Cognitive Governor &amp; Formation Router</x:v>
      </x:c>
      <x:c r="C20" t="n">
        <x:f>COUNTIF(Tickets!$B$2:$B$201,A20)</x:f>
        <x:v>13</x:v>
      </x:c>
      <x:c r="D20" t="n">
        <x:f>COUNTIFS(Tickets!$B$2:$B$201,A20,Tickets!$G$2:$G$201,"P0")</x:f>
        <x:v>10</x:v>
      </x:c>
      <x:c r="E20" t="n">
        <x:v>24</x:v>
      </x:c>
      <x:c r="F20" t="n">
        <x:v>37</x:v>
      </x:c>
      <x:c r="G20" t="str">
        <x:v>G4</x:v>
      </x:c>
    </x:row>
    <x:row r="21">
      <x:c r="A21" t="str">
        <x:v>P8</x:v>
      </x:c>
      <x:c r="B21" t="str">
        <x:v>Shadow Twin &amp; Evolution Chamber</x:v>
      </x:c>
      <x:c r="C21" t="n">
        <x:f>COUNTIF(Tickets!$B$2:$B$201,A21)</x:f>
        <x:v>15</x:v>
      </x:c>
      <x:c r="D21" t="n">
        <x:f>COUNTIFS(Tickets!$B$2:$B$201,A21,Tickets!$G$2:$G$201,"P0")</x:f>
        <x:v>11</x:v>
      </x:c>
      <x:c r="E21" t="n">
        <x:v>28</x:v>
      </x:c>
      <x:c r="F21" t="n">
        <x:v>42</x:v>
      </x:c>
      <x:c r="G21" t="str">
        <x:v>G5</x:v>
      </x:c>
    </x:row>
    <x:row r="22">
      <x:c r="A22" t="str">
        <x:v>P9</x:v>
      </x:c>
      <x:c r="B22" t="str">
        <x:v>External Work Integrations</x:v>
      </x:c>
      <x:c r="C22" t="n">
        <x:f>COUNTIF(Tickets!$B$2:$B$201,A22)</x:f>
        <x:v>15</x:v>
      </x:c>
      <x:c r="D22" t="n">
        <x:f>COUNTIFS(Tickets!$B$2:$B$201,A22,Tickets!$G$2:$G$201,"P0")</x:f>
        <x:v>12</x:v>
      </x:c>
      <x:c r="E22" t="n">
        <x:v>30</x:v>
      </x:c>
      <x:c r="F22" t="n">
        <x:v>43</x:v>
      </x:c>
      <x:c r="G22" t="str">
        <x:v>G5</x:v>
      </x:c>
      <x:c r="H22" s="5" t="str">
        <x:v>Phase timeline</x:v>
      </x:c>
      <x:c r="I22" s="5" t="str">
        <x:v>W1</x:v>
      </x:c>
      <x:c r="J22" s="5" t="str">
        <x:v>W2</x:v>
      </x:c>
      <x:c r="K22" s="5" t="str">
        <x:v>W3</x:v>
      </x:c>
      <x:c r="L22" s="5" t="str">
        <x:v>W4</x:v>
      </x:c>
      <x:c r="M22" s="5" t="str">
        <x:v>W5</x:v>
      </x:c>
      <x:c r="N22" s="5" t="str">
        <x:v>W6</x:v>
      </x:c>
      <x:c r="O22" s="5" t="str">
        <x:v>W7</x:v>
      </x:c>
      <x:c r="P22" s="5" t="str">
        <x:v>W8</x:v>
      </x:c>
      <x:c r="Q22" s="5" t="str">
        <x:v>W9</x:v>
      </x:c>
      <x:c r="R22" s="5" t="str">
        <x:v>W10</x:v>
      </x:c>
      <x:c r="S22" s="5" t="str">
        <x:v>W11</x:v>
      </x:c>
      <x:c r="T22" s="5" t="str">
        <x:v>W12</x:v>
      </x:c>
      <x:c r="U22" s="5" t="str">
        <x:v>W13</x:v>
      </x:c>
      <x:c r="V22" s="5" t="str">
        <x:v>W14</x:v>
      </x:c>
      <x:c r="W22" s="5" t="str">
        <x:v>W15</x:v>
      </x:c>
      <x:c r="X22" s="5" t="str">
        <x:v>W16</x:v>
      </x:c>
      <x:c r="Y22" s="5" t="str">
        <x:v>W17</x:v>
      </x:c>
      <x:c r="Z22" s="5" t="str">
        <x:v>W18</x:v>
      </x:c>
      <x:c r="AA22" s="5" t="str">
        <x:v>W19</x:v>
      </x:c>
      <x:c r="AB22" s="5" t="str">
        <x:v>W20</x:v>
      </x:c>
      <x:c r="AC22" s="5" t="str">
        <x:v>W21</x:v>
      </x:c>
      <x:c r="AD22" s="5" t="str">
        <x:v>W22</x:v>
      </x:c>
      <x:c r="AE22" s="5" t="str">
        <x:v>W23</x:v>
      </x:c>
      <x:c r="AF22" s="5" t="str">
        <x:v>W24</x:v>
      </x:c>
      <x:c r="AG22" s="5" t="str">
        <x:v>W25</x:v>
      </x:c>
      <x:c r="AH22" s="5" t="str">
        <x:v>W26</x:v>
      </x:c>
      <x:c r="AI22" s="5" t="str">
        <x:v>W27</x:v>
      </x:c>
      <x:c r="AJ22" s="5" t="str">
        <x:v>W28</x:v>
      </x:c>
      <x:c r="AK22" s="5" t="str">
        <x:v>W29</x:v>
      </x:c>
      <x:c r="AL22" s="5" t="str">
        <x:v>W30</x:v>
      </x:c>
      <x:c r="AM22" s="5" t="str">
        <x:v>W31</x:v>
      </x:c>
      <x:c r="AN22" s="5" t="str">
        <x:v>W32</x:v>
      </x:c>
      <x:c r="AO22" s="5" t="str">
        <x:v>W33</x:v>
      </x:c>
      <x:c r="AP22" s="5" t="str">
        <x:v>W34</x:v>
      </x:c>
      <x:c r="AQ22" s="5" t="str">
        <x:v>W35</x:v>
      </x:c>
      <x:c r="AR22" s="5" t="str">
        <x:v>W36</x:v>
      </x:c>
      <x:c r="AS22" s="5" t="str">
        <x:v>W37</x:v>
      </x:c>
      <x:c r="AT22" s="5" t="str">
        <x:v>W38</x:v>
      </x:c>
      <x:c r="AU22" s="5" t="str">
        <x:v>W39</x:v>
      </x:c>
      <x:c r="AV22" s="5" t="str">
        <x:v>W40</x:v>
      </x:c>
      <x:c r="AW22" s="5" t="str">
        <x:v>W41</x:v>
      </x:c>
      <x:c r="AX22" s="5" t="str">
        <x:v>W42</x:v>
      </x:c>
      <x:c r="AY22" s="5" t="str">
        <x:v>W43</x:v>
      </x:c>
      <x:c r="AZ22" s="5" t="str">
        <x:v>W44</x:v>
      </x:c>
      <x:c r="BA22" s="5" t="str">
        <x:v>W45</x:v>
      </x:c>
      <x:c r="BB22" s="5" t="str">
        <x:v>W46</x:v>
      </x:c>
      <x:c r="BC22" s="5" t="str">
        <x:v>W47</x:v>
      </x:c>
      <x:c r="BD22" s="5" t="str">
        <x:v>W48</x:v>
      </x:c>
      <x:c r="BE22" s="5" t="str">
        <x:v>W49</x:v>
      </x:c>
      <x:c r="BF22" s="5" t="str">
        <x:v>W50</x:v>
      </x:c>
      <x:c r="BG22" s="5" t="str">
        <x:v>W51</x:v>
      </x:c>
      <x:c r="BH22" s="5" t="str">
        <x:v>W52</x:v>
      </x:c>
      <x:c r="BI22" s="5" t="str">
        <x:v>W53</x:v>
      </x:c>
      <x:c r="BJ22" s="5" t="str">
        <x:v>W54</x:v>
      </x:c>
      <x:c r="BK22" s="5" t="str">
        <x:v>W55</x:v>
      </x:c>
      <x:c r="BL22" s="5" t="str">
        <x:v>W56</x:v>
      </x:c>
      <x:c r="BM22" s="5" t="str">
        <x:v>W57</x:v>
      </x:c>
      <x:c r="BN22" s="5" t="str">
        <x:v>W58</x:v>
      </x:c>
      <x:c r="BO22" s="5" t="str">
        <x:v>W59</x:v>
      </x:c>
      <x:c r="BP22" s="5" t="str">
        <x:v>W60</x:v>
      </x:c>
    </x:row>
    <x:row r="23">
      <x:c r="A23" t="str">
        <x:v>P10</x:v>
      </x:c>
      <x:c r="B23" t="str">
        <x:v>Avatar / Social / Blueprint Network</x:v>
      </x:c>
      <x:c r="C23" t="n">
        <x:f>COUNTIF(Tickets!$B$2:$B$201,A23)</x:f>
        <x:v>13</x:v>
      </x:c>
      <x:c r="D23" t="n">
        <x:f>COUNTIFS(Tickets!$B$2:$B$201,A23,Tickets!$G$2:$G$201,"P0")</x:f>
        <x:v>8</x:v>
      </x:c>
      <x:c r="E23" t="n">
        <x:v>34</x:v>
      </x:c>
      <x:c r="F23" t="n">
        <x:v>48</x:v>
      </x:c>
      <x:c r="G23" t="str">
        <x:v>G6</x:v>
      </x:c>
      <x:c r="H23" t="str">
        <x:v>P0</x:v>
      </x:c>
      <x:c r="I23" s="26" t="str">
        <x:v>■</x:v>
      </x:c>
      <x:c r="J23" s="26" t="str">
        <x:v>■</x:v>
      </x:c>
      <x:c r="K23" s="26" t="str">
        <x:v>■</x:v>
      </x:c>
      <x:c r="L23" s="26" t="str">
        <x:v>■</x:v>
      </x:c>
      <x:c r="M23" s="26" t="str"/>
      <x:c r="N23" s="26" t="str"/>
      <x:c r="O23" s="26" t="str"/>
      <x:c r="P23" s="26" t="str"/>
      <x:c r="Q23" s="26" t="str"/>
      <x:c r="R23" s="26" t="str"/>
      <x:c r="S23" s="26" t="str"/>
      <x:c r="T23" s="26" t="str"/>
      <x:c r="U23" s="26" t="str"/>
      <x:c r="V23" s="26" t="str"/>
      <x:c r="W23" s="26" t="str"/>
      <x:c r="X23" s="26" t="str"/>
      <x:c r="Y23" s="26" t="str"/>
      <x:c r="Z23" s="26" t="str"/>
      <x:c r="AA23" s="26" t="str"/>
      <x:c r="AB23" s="26" t="str"/>
      <x:c r="AC23" s="26" t="str"/>
      <x:c r="AD23" s="26" t="str"/>
      <x:c r="AE23" s="26" t="str"/>
      <x:c r="AF23" s="26" t="str"/>
      <x:c r="AG23" s="26" t="str"/>
      <x:c r="AH23" s="26" t="str"/>
      <x:c r="AI23" s="26" t="str"/>
      <x:c r="AJ23" s="26" t="str"/>
      <x:c r="AK23" s="26" t="str"/>
      <x:c r="AL23" s="26" t="str"/>
      <x:c r="AM23" s="26" t="str"/>
      <x:c r="AN23" s="26" t="str"/>
      <x:c r="AO23" s="26" t="str"/>
      <x:c r="AP23" s="26" t="str"/>
      <x:c r="AQ23" s="26" t="str"/>
      <x:c r="AR23" s="26" t="str"/>
      <x:c r="AS23" s="26" t="str"/>
      <x:c r="AT23" s="26" t="str"/>
      <x:c r="AU23" s="26" t="str"/>
      <x:c r="AV23" s="26" t="str"/>
      <x:c r="AW23" s="26" t="str"/>
      <x:c r="AX23" s="26" t="str"/>
      <x:c r="AY23" s="26" t="str"/>
      <x:c r="AZ23" s="26" t="str"/>
      <x:c r="BA23" s="26" t="str"/>
      <x:c r="BB23" s="26" t="str"/>
      <x:c r="BC23" s="26" t="str"/>
      <x:c r="BD23" s="26" t="str"/>
      <x:c r="BE23" s="26" t="str"/>
      <x:c r="BF23" s="26" t="str"/>
      <x:c r="BG23" s="26" t="str"/>
      <x:c r="BH23" s="26" t="str"/>
      <x:c r="BI23" s="26" t="str"/>
      <x:c r="BJ23" s="26" t="str"/>
      <x:c r="BK23" s="26" t="str"/>
      <x:c r="BL23" s="26" t="str"/>
      <x:c r="BM23" s="26" t="str"/>
      <x:c r="BN23" s="26" t="str"/>
      <x:c r="BO23" s="26" t="str"/>
      <x:c r="BP23" s="26" t="str"/>
    </x:row>
    <x:row r="24">
      <x:c r="A24" t="str">
        <x:v>P11</x:v>
      </x:c>
      <x:c r="B24" t="str">
        <x:v>CELL Mesh Federation</x:v>
      </x:c>
      <x:c r="C24" t="n">
        <x:f>COUNTIF(Tickets!$B$2:$B$201,A24)</x:f>
        <x:v>13</x:v>
      </x:c>
      <x:c r="D24" t="n">
        <x:f>COUNTIFS(Tickets!$B$2:$B$201,A24,Tickets!$G$2:$G$201,"P0")</x:f>
        <x:v>10</x:v>
      </x:c>
      <x:c r="E24" t="n">
        <x:v>40</x:v>
      </x:c>
      <x:c r="F24" t="n">
        <x:v>55</x:v>
      </x:c>
      <x:c r="G24" t="str">
        <x:v>G7</x:v>
      </x:c>
      <x:c r="H24" t="str">
        <x:v>P1</x:v>
      </x:c>
      <x:c r="I24" s="26" t="str"/>
      <x:c r="J24" s="26" t="str"/>
      <x:c r="K24" s="26" t="str">
        <x:v>■</x:v>
      </x:c>
      <x:c r="L24" s="26" t="str">
        <x:v>■</x:v>
      </x:c>
      <x:c r="M24" s="26" t="str">
        <x:v>■</x:v>
      </x:c>
      <x:c r="N24" s="26" t="str">
        <x:v>■</x:v>
      </x:c>
      <x:c r="O24" s="26" t="str">
        <x:v>■</x:v>
      </x:c>
      <x:c r="P24" s="26" t="str">
        <x:v>■</x:v>
      </x:c>
      <x:c r="Q24" s="26" t="str"/>
      <x:c r="R24" s="26" t="str"/>
      <x:c r="S24" s="26" t="str"/>
      <x:c r="T24" s="26" t="str"/>
      <x:c r="U24" s="26" t="str"/>
      <x:c r="V24" s="26" t="str"/>
      <x:c r="W24" s="26" t="str"/>
      <x:c r="X24" s="26" t="str"/>
      <x:c r="Y24" s="26" t="str"/>
      <x:c r="Z24" s="26" t="str"/>
      <x:c r="AA24" s="26" t="str"/>
      <x:c r="AB24" s="26" t="str"/>
      <x:c r="AC24" s="26" t="str"/>
      <x:c r="AD24" s="26" t="str"/>
      <x:c r="AE24" s="26" t="str"/>
      <x:c r="AF24" s="26" t="str"/>
      <x:c r="AG24" s="26" t="str"/>
      <x:c r="AH24" s="26" t="str"/>
      <x:c r="AI24" s="26" t="str"/>
      <x:c r="AJ24" s="26" t="str"/>
      <x:c r="AK24" s="26" t="str"/>
      <x:c r="AL24" s="26" t="str"/>
      <x:c r="AM24" s="26" t="str"/>
      <x:c r="AN24" s="26" t="str"/>
      <x:c r="AO24" s="26" t="str"/>
      <x:c r="AP24" s="26" t="str"/>
      <x:c r="AQ24" s="26" t="str"/>
      <x:c r="AR24" s="26" t="str"/>
      <x:c r="AS24" s="26" t="str"/>
      <x:c r="AT24" s="26" t="str"/>
      <x:c r="AU24" s="26" t="str"/>
      <x:c r="AV24" s="26" t="str"/>
      <x:c r="AW24" s="26" t="str"/>
      <x:c r="AX24" s="26" t="str"/>
      <x:c r="AY24" s="26" t="str"/>
      <x:c r="AZ24" s="26" t="str"/>
      <x:c r="BA24" s="26" t="str"/>
      <x:c r="BB24" s="26" t="str"/>
      <x:c r="BC24" s="26" t="str"/>
      <x:c r="BD24" s="26" t="str"/>
      <x:c r="BE24" s="26" t="str"/>
      <x:c r="BF24" s="26" t="str"/>
      <x:c r="BG24" s="26" t="str"/>
      <x:c r="BH24" s="26" t="str"/>
      <x:c r="BI24" s="26" t="str"/>
      <x:c r="BJ24" s="26" t="str"/>
      <x:c r="BK24" s="26" t="str"/>
      <x:c r="BL24" s="26" t="str"/>
      <x:c r="BM24" s="26" t="str"/>
      <x:c r="BN24" s="26" t="str"/>
      <x:c r="BO24" s="26" t="str"/>
      <x:c r="BP24" s="26" t="str"/>
    </x:row>
    <x:row r="25">
      <x:c r="A25" t="str">
        <x:v>P12</x:v>
      </x:c>
      <x:c r="B25" t="str">
        <x:v>Organism &amp; Self-Hosting Reliability</x:v>
      </x:c>
      <x:c r="C25" t="n">
        <x:f>COUNTIF(Tickets!$B$2:$B$201,A25)</x:f>
        <x:v>12</x:v>
      </x:c>
      <x:c r="D25" t="n">
        <x:f>COUNTIFS(Tickets!$B$2:$B$201,A25,Tickets!$G$2:$G$201,"P0")</x:f>
        <x:v>9</x:v>
      </x:c>
      <x:c r="E25" t="n">
        <x:v>48</x:v>
      </x:c>
      <x:c r="F25" t="n">
        <x:v>59</x:v>
      </x:c>
      <x:c r="G25" t="str">
        <x:v>G8</x:v>
      </x:c>
      <x:c r="H25" t="str">
        <x:v>P2</x:v>
      </x:c>
      <x:c r="I25" s="26" t="str"/>
      <x:c r="J25" s="26" t="str"/>
      <x:c r="K25" s="26" t="str"/>
      <x:c r="L25" s="26" t="str"/>
      <x:c r="M25" s="26" t="str"/>
      <x:c r="N25" s="26" t="str">
        <x:v>■</x:v>
      </x:c>
      <x:c r="O25" s="26" t="str">
        <x:v>■</x:v>
      </x:c>
      <x:c r="P25" s="26" t="str">
        <x:v>■</x:v>
      </x:c>
      <x:c r="Q25" s="26" t="str">
        <x:v>■</x:v>
      </x:c>
      <x:c r="R25" s="26" t="str">
        <x:v>■</x:v>
      </x:c>
      <x:c r="S25" s="26" t="str">
        <x:v>■</x:v>
      </x:c>
      <x:c r="T25" s="26" t="str">
        <x:v>■</x:v>
      </x:c>
      <x:c r="U25" s="26" t="str">
        <x:v>■</x:v>
      </x:c>
      <x:c r="V25" s="26" t="str">
        <x:v>■</x:v>
      </x:c>
      <x:c r="W25" s="26" t="str"/>
      <x:c r="X25" s="26" t="str"/>
      <x:c r="Y25" s="26" t="str"/>
      <x:c r="Z25" s="26" t="str"/>
      <x:c r="AA25" s="26" t="str"/>
      <x:c r="AB25" s="26" t="str"/>
      <x:c r="AC25" s="26" t="str"/>
      <x:c r="AD25" s="26" t="str"/>
      <x:c r="AE25" s="26" t="str"/>
      <x:c r="AF25" s="26" t="str"/>
      <x:c r="AG25" s="26" t="str"/>
      <x:c r="AH25" s="26" t="str"/>
      <x:c r="AI25" s="26" t="str"/>
      <x:c r="AJ25" s="26" t="str"/>
      <x:c r="AK25" s="26" t="str"/>
      <x:c r="AL25" s="26" t="str"/>
      <x:c r="AM25" s="26" t="str"/>
      <x:c r="AN25" s="26" t="str"/>
      <x:c r="AO25" s="26" t="str"/>
      <x:c r="AP25" s="26" t="str"/>
      <x:c r="AQ25" s="26" t="str"/>
      <x:c r="AR25" s="26" t="str"/>
      <x:c r="AS25" s="26" t="str"/>
      <x:c r="AT25" s="26" t="str"/>
      <x:c r="AU25" s="26" t="str"/>
      <x:c r="AV25" s="26" t="str"/>
      <x:c r="AW25" s="26" t="str"/>
      <x:c r="AX25" s="26" t="str"/>
      <x:c r="AY25" s="26" t="str"/>
      <x:c r="AZ25" s="26" t="str"/>
      <x:c r="BA25" s="26" t="str"/>
      <x:c r="BB25" s="26" t="str"/>
      <x:c r="BC25" s="26" t="str"/>
      <x:c r="BD25" s="26" t="str"/>
      <x:c r="BE25" s="26" t="str"/>
      <x:c r="BF25" s="26" t="str"/>
      <x:c r="BG25" s="26" t="str"/>
      <x:c r="BH25" s="26" t="str"/>
      <x:c r="BI25" s="26" t="str"/>
      <x:c r="BJ25" s="26" t="str"/>
      <x:c r="BK25" s="26" t="str"/>
      <x:c r="BL25" s="26" t="str"/>
      <x:c r="BM25" s="26" t="str"/>
      <x:c r="BN25" s="26" t="str"/>
      <x:c r="BO25" s="26" t="str"/>
      <x:c r="BP25" s="26" t="str"/>
    </x:row>
    <x:row r="26">
      <x:c r="A26" t="str">
        <x:v>P13</x:v>
      </x:c>
      <x:c r="B26" t="str">
        <x:v>Security Hardening &amp; v1 Release</x:v>
      </x:c>
      <x:c r="C26" t="n">
        <x:f>COUNTIF(Tickets!$B$2:$B$201,A26)</x:f>
        <x:v>14</x:v>
      </x:c>
      <x:c r="D26" t="n">
        <x:f>COUNTIFS(Tickets!$B$2:$B$201,A26,Tickets!$G$2:$G$201,"P0")</x:f>
        <x:v>14</x:v>
      </x:c>
      <x:c r="E26" t="n">
        <x:v>54</x:v>
      </x:c>
      <x:c r="F26" t="n">
        <x:v>60</x:v>
      </x:c>
      <x:c r="G26" t="str">
        <x:v>V1</x:v>
      </x:c>
      <x:c r="H26" t="str">
        <x:v>P3</x:v>
      </x:c>
      <x:c r="I26" s="26" t="str"/>
      <x:c r="J26" s="26" t="str"/>
      <x:c r="K26" s="26" t="str"/>
      <x:c r="L26" s="26" t="str"/>
      <x:c r="M26" s="26" t="str"/>
      <x:c r="N26" s="26" t="str"/>
      <x:c r="O26" s="26" t="str"/>
      <x:c r="P26" s="26" t="str"/>
      <x:c r="Q26" s="26" t="str">
        <x:v>■</x:v>
      </x:c>
      <x:c r="R26" s="26" t="str">
        <x:v>■</x:v>
      </x:c>
      <x:c r="S26" s="26" t="str">
        <x:v>■</x:v>
      </x:c>
      <x:c r="T26" s="26" t="str">
        <x:v>■</x:v>
      </x:c>
      <x:c r="U26" s="26" t="str">
        <x:v>■</x:v>
      </x:c>
      <x:c r="V26" s="26" t="str">
        <x:v>■</x:v>
      </x:c>
      <x:c r="W26" s="26" t="str">
        <x:v>■</x:v>
      </x:c>
      <x:c r="X26" s="26" t="str">
        <x:v>■</x:v>
      </x:c>
      <x:c r="Y26" s="26" t="str">
        <x:v>■</x:v>
      </x:c>
      <x:c r="Z26" s="26" t="str">
        <x:v>■</x:v>
      </x:c>
      <x:c r="AA26" s="26" t="str"/>
      <x:c r="AB26" s="26" t="str"/>
      <x:c r="AC26" s="26" t="str"/>
      <x:c r="AD26" s="26" t="str"/>
      <x:c r="AE26" s="26" t="str"/>
      <x:c r="AF26" s="26" t="str"/>
      <x:c r="AG26" s="26" t="str"/>
      <x:c r="AH26" s="26" t="str"/>
      <x:c r="AI26" s="26" t="str"/>
      <x:c r="AJ26" s="26" t="str"/>
      <x:c r="AK26" s="26" t="str"/>
      <x:c r="AL26" s="26" t="str"/>
      <x:c r="AM26" s="26" t="str"/>
      <x:c r="AN26" s="26" t="str"/>
      <x:c r="AO26" s="26" t="str"/>
      <x:c r="AP26" s="26" t="str"/>
      <x:c r="AQ26" s="26" t="str"/>
      <x:c r="AR26" s="26" t="str"/>
      <x:c r="AS26" s="26" t="str"/>
      <x:c r="AT26" s="26" t="str"/>
      <x:c r="AU26" s="26" t="str"/>
      <x:c r="AV26" s="26" t="str"/>
      <x:c r="AW26" s="26" t="str"/>
      <x:c r="AX26" s="26" t="str"/>
      <x:c r="AY26" s="26" t="str"/>
      <x:c r="AZ26" s="26" t="str"/>
      <x:c r="BA26" s="26" t="str"/>
      <x:c r="BB26" s="26" t="str"/>
      <x:c r="BC26" s="26" t="str"/>
      <x:c r="BD26" s="26" t="str"/>
      <x:c r="BE26" s="26" t="str"/>
      <x:c r="BF26" s="26" t="str"/>
      <x:c r="BG26" s="26" t="str"/>
      <x:c r="BH26" s="26" t="str"/>
      <x:c r="BI26" s="26" t="str"/>
      <x:c r="BJ26" s="26" t="str"/>
      <x:c r="BK26" s="26" t="str"/>
      <x:c r="BL26" s="26" t="str"/>
      <x:c r="BM26" s="26" t="str"/>
      <x:c r="BN26" s="26" t="str"/>
      <x:c r="BO26" s="26" t="str"/>
      <x:c r="BP26" s="26" t="str"/>
    </x:row>
    <x:row r="27">
      <x:c r="H27" t="str">
        <x:v>P4</x:v>
      </x:c>
      <x:c r="I27" s="26" t="str"/>
      <x:c r="J27" s="26" t="str"/>
      <x:c r="K27" s="26" t="str"/>
      <x:c r="L27" s="26" t="str"/>
      <x:c r="M27" s="26" t="str"/>
      <x:c r="N27" s="26" t="str"/>
      <x:c r="O27" s="26" t="str"/>
      <x:c r="P27" s="26" t="str"/>
      <x:c r="Q27" s="26" t="str"/>
      <x:c r="R27" s="26" t="str"/>
      <x:c r="S27" s="26" t="str"/>
      <x:c r="T27" s="26" t="str">
        <x:v>■</x:v>
      </x:c>
      <x:c r="U27" s="26" t="str">
        <x:v>■</x:v>
      </x:c>
      <x:c r="V27" s="26" t="str">
        <x:v>■</x:v>
      </x:c>
      <x:c r="W27" s="26" t="str">
        <x:v>■</x:v>
      </x:c>
      <x:c r="X27" s="26" t="str">
        <x:v>■</x:v>
      </x:c>
      <x:c r="Y27" s="26" t="str">
        <x:v>■</x:v>
      </x:c>
      <x:c r="Z27" s="26" t="str">
        <x:v>■</x:v>
      </x:c>
      <x:c r="AA27" s="26" t="str">
        <x:v>■</x:v>
      </x:c>
      <x:c r="AB27" s="26" t="str">
        <x:v>■</x:v>
      </x:c>
      <x:c r="AC27" s="26" t="str">
        <x:v>■</x:v>
      </x:c>
      <x:c r="AD27" s="26" t="str">
        <x:v>■</x:v>
      </x:c>
      <x:c r="AE27" s="26" t="str"/>
      <x:c r="AF27" s="26" t="str"/>
      <x:c r="AG27" s="26" t="str"/>
      <x:c r="AH27" s="26" t="str"/>
      <x:c r="AI27" s="26" t="str"/>
      <x:c r="AJ27" s="26" t="str"/>
      <x:c r="AK27" s="26" t="str"/>
      <x:c r="AL27" s="26" t="str"/>
      <x:c r="AM27" s="26" t="str"/>
      <x:c r="AN27" s="26" t="str"/>
      <x:c r="AO27" s="26" t="str"/>
      <x:c r="AP27" s="26" t="str"/>
      <x:c r="AQ27" s="26" t="str"/>
      <x:c r="AR27" s="26" t="str"/>
      <x:c r="AS27" s="26" t="str"/>
      <x:c r="AT27" s="26" t="str"/>
      <x:c r="AU27" s="26" t="str"/>
      <x:c r="AV27" s="26" t="str"/>
      <x:c r="AW27" s="26" t="str"/>
      <x:c r="AX27" s="26" t="str"/>
      <x:c r="AY27" s="26" t="str"/>
      <x:c r="AZ27" s="26" t="str"/>
      <x:c r="BA27" s="26" t="str"/>
      <x:c r="BB27" s="26" t="str"/>
      <x:c r="BC27" s="26" t="str"/>
      <x:c r="BD27" s="26" t="str"/>
      <x:c r="BE27" s="26" t="str"/>
      <x:c r="BF27" s="26" t="str"/>
      <x:c r="BG27" s="26" t="str"/>
      <x:c r="BH27" s="26" t="str"/>
      <x:c r="BI27" s="26" t="str"/>
      <x:c r="BJ27" s="26" t="str"/>
      <x:c r="BK27" s="26" t="str"/>
      <x:c r="BL27" s="26" t="str"/>
      <x:c r="BM27" s="26" t="str"/>
      <x:c r="BN27" s="26" t="str"/>
      <x:c r="BO27" s="26" t="str"/>
      <x:c r="BP27" s="26" t="str"/>
    </x:row>
    <x:row r="28">
      <x:c r="H28" t="str">
        <x:v>P5</x:v>
      </x:c>
      <x:c r="I28" s="26" t="str"/>
      <x:c r="J28" s="26" t="str"/>
      <x:c r="K28" s="26" t="str"/>
      <x:c r="L28" s="26" t="str"/>
      <x:c r="M28" s="26" t="str"/>
      <x:c r="N28" s="26" t="str"/>
      <x:c r="O28" s="26" t="str"/>
      <x:c r="P28" s="26" t="str"/>
      <x:c r="Q28" s="26" t="str"/>
      <x:c r="R28" s="26" t="str"/>
      <x:c r="S28" s="26" t="str"/>
      <x:c r="T28" s="26" t="str"/>
      <x:c r="U28" s="26" t="str"/>
      <x:c r="V28" s="26" t="str"/>
      <x:c r="W28" s="26" t="str"/>
      <x:c r="X28" s="26" t="str">
        <x:v>■</x:v>
      </x:c>
      <x:c r="Y28" s="26" t="str">
        <x:v>■</x:v>
      </x:c>
      <x:c r="Z28" s="26" t="str">
        <x:v>■</x:v>
      </x:c>
      <x:c r="AA28" s="26" t="str">
        <x:v>■</x:v>
      </x:c>
      <x:c r="AB28" s="26" t="str">
        <x:v>■</x:v>
      </x:c>
      <x:c r="AC28" s="26" t="str">
        <x:v>■</x:v>
      </x:c>
      <x:c r="AD28" s="26" t="str">
        <x:v>■</x:v>
      </x:c>
      <x:c r="AE28" s="26" t="str">
        <x:v>■</x:v>
      </x:c>
      <x:c r="AF28" s="26" t="str">
        <x:v>■</x:v>
      </x:c>
      <x:c r="AG28" s="26" t="str">
        <x:v>■</x:v>
      </x:c>
      <x:c r="AH28" s="26" t="str">
        <x:v>■</x:v>
      </x:c>
      <x:c r="AI28" s="26" t="str">
        <x:v>■</x:v>
      </x:c>
      <x:c r="AJ28" s="26" t="str"/>
      <x:c r="AK28" s="26" t="str"/>
      <x:c r="AL28" s="26" t="str"/>
      <x:c r="AM28" s="26" t="str"/>
      <x:c r="AN28" s="26" t="str"/>
      <x:c r="AO28" s="26" t="str"/>
      <x:c r="AP28" s="26" t="str"/>
      <x:c r="AQ28" s="26" t="str"/>
      <x:c r="AR28" s="26" t="str"/>
      <x:c r="AS28" s="26" t="str"/>
      <x:c r="AT28" s="26" t="str"/>
      <x:c r="AU28" s="26" t="str"/>
      <x:c r="AV28" s="26" t="str"/>
      <x:c r="AW28" s="26" t="str"/>
      <x:c r="AX28" s="26" t="str"/>
      <x:c r="AY28" s="26" t="str"/>
      <x:c r="AZ28" s="26" t="str"/>
      <x:c r="BA28" s="26" t="str"/>
      <x:c r="BB28" s="26" t="str"/>
      <x:c r="BC28" s="26" t="str"/>
      <x:c r="BD28" s="26" t="str"/>
      <x:c r="BE28" s="26" t="str"/>
      <x:c r="BF28" s="26" t="str"/>
      <x:c r="BG28" s="26" t="str"/>
      <x:c r="BH28" s="26" t="str"/>
      <x:c r="BI28" s="26" t="str"/>
      <x:c r="BJ28" s="26" t="str"/>
      <x:c r="BK28" s="26" t="str"/>
      <x:c r="BL28" s="26" t="str"/>
      <x:c r="BM28" s="26" t="str"/>
      <x:c r="BN28" s="26" t="str"/>
      <x:c r="BO28" s="26" t="str"/>
      <x:c r="BP28" s="26" t="str"/>
    </x:row>
    <x:row r="29">
      <x:c r="H29" t="str">
        <x:v>P6</x:v>
      </x:c>
      <x:c r="I29" s="26" t="str"/>
      <x:c r="J29" s="26" t="str"/>
      <x:c r="K29" s="26" t="str"/>
      <x:c r="L29" s="26" t="str"/>
      <x:c r="M29" s="26" t="str"/>
      <x:c r="N29" s="26" t="str"/>
      <x:c r="O29" s="26" t="str"/>
      <x:c r="P29" s="26" t="str"/>
      <x:c r="Q29" s="26" t="str"/>
      <x:c r="R29" s="26" t="str"/>
      <x:c r="S29" s="26" t="str"/>
      <x:c r="T29" s="26" t="str"/>
      <x:c r="U29" s="26" t="str"/>
      <x:c r="V29" s="26" t="str"/>
      <x:c r="W29" s="26" t="str"/>
      <x:c r="X29" s="26" t="str"/>
      <x:c r="Y29" s="26" t="str"/>
      <x:c r="Z29" s="26" t="str"/>
      <x:c r="AA29" s="26" t="str"/>
      <x:c r="AB29" s="26" t="str">
        <x:v>■</x:v>
      </x:c>
      <x:c r="AC29" s="26" t="str">
        <x:v>■</x:v>
      </x:c>
      <x:c r="AD29" s="26" t="str">
        <x:v>■</x:v>
      </x:c>
      <x:c r="AE29" s="26" t="str">
        <x:v>■</x:v>
      </x:c>
      <x:c r="AF29" s="26" t="str">
        <x:v>■</x:v>
      </x:c>
      <x:c r="AG29" s="26" t="str">
        <x:v>■</x:v>
      </x:c>
      <x:c r="AH29" s="26" t="str">
        <x:v>■</x:v>
      </x:c>
      <x:c r="AI29" s="26" t="str">
        <x:v>■</x:v>
      </x:c>
      <x:c r="AJ29" s="26" t="str">
        <x:v>■</x:v>
      </x:c>
      <x:c r="AK29" s="26" t="str">
        <x:v>■</x:v>
      </x:c>
      <x:c r="AL29" s="26" t="str">
        <x:v>■</x:v>
      </x:c>
      <x:c r="AM29" s="26" t="str">
        <x:v>■</x:v>
      </x:c>
      <x:c r="AN29" s="26" t="str">
        <x:v>■</x:v>
      </x:c>
      <x:c r="AO29" s="26" t="str">
        <x:v>■</x:v>
      </x:c>
      <x:c r="AP29" s="26" t="str">
        <x:v>■</x:v>
      </x:c>
      <x:c r="AQ29" s="26" t="str"/>
      <x:c r="AR29" s="26" t="str"/>
      <x:c r="AS29" s="26" t="str"/>
      <x:c r="AT29" s="26" t="str"/>
      <x:c r="AU29" s="26" t="str"/>
      <x:c r="AV29" s="26" t="str"/>
      <x:c r="AW29" s="26" t="str"/>
      <x:c r="AX29" s="26" t="str"/>
      <x:c r="AY29" s="26" t="str"/>
      <x:c r="AZ29" s="26" t="str"/>
      <x:c r="BA29" s="26" t="str"/>
      <x:c r="BB29" s="26" t="str"/>
      <x:c r="BC29" s="26" t="str"/>
      <x:c r="BD29" s="26" t="str"/>
      <x:c r="BE29" s="26" t="str"/>
      <x:c r="BF29" s="26" t="str"/>
      <x:c r="BG29" s="26" t="str"/>
      <x:c r="BH29" s="26" t="str"/>
      <x:c r="BI29" s="26" t="str"/>
      <x:c r="BJ29" s="26" t="str"/>
      <x:c r="BK29" s="26" t="str"/>
      <x:c r="BL29" s="26" t="str"/>
      <x:c r="BM29" s="26" t="str"/>
      <x:c r="BN29" s="26" t="str"/>
      <x:c r="BO29" s="26" t="str"/>
      <x:c r="BP29" s="26" t="str"/>
    </x:row>
    <x:row r="30">
      <x:c r="A30" s="30" t="str">
        <x:v>Planning note: this v0.2 tracker is a proposed execution model synthesized from the existing CELL OS v0.1 roadmap plus the native WorkGraph/Mission Board and Linear bridge design. Reconcile against the current repository before committing dates.</x:v>
      </x:c>
      <x:c r="H30" t="str">
        <x:v>P7</x:v>
      </x:c>
      <x:c r="I30" s="26" t="str"/>
      <x:c r="J30" s="26" t="str"/>
      <x:c r="K30" s="26" t="str"/>
      <x:c r="L30" s="26" t="str"/>
      <x:c r="M30" s="26" t="str"/>
      <x:c r="N30" s="26" t="str"/>
      <x:c r="O30" s="26" t="str"/>
      <x:c r="P30" s="26" t="str"/>
      <x:c r="Q30" s="26" t="str"/>
      <x:c r="R30" s="26" t="str"/>
      <x:c r="S30" s="26" t="str"/>
      <x:c r="T30" s="26" t="str"/>
      <x:c r="U30" s="26" t="str"/>
      <x:c r="V30" s="26" t="str"/>
      <x:c r="W30" s="26" t="str"/>
      <x:c r="X30" s="26" t="str"/>
      <x:c r="Y30" s="26" t="str"/>
      <x:c r="Z30" s="26" t="str"/>
      <x:c r="AA30" s="26" t="str"/>
      <x:c r="AB30" s="26" t="str"/>
      <x:c r="AC30" s="26" t="str"/>
      <x:c r="AD30" s="26" t="str"/>
      <x:c r="AE30" s="26" t="str"/>
      <x:c r="AF30" s="26" t="str">
        <x:v>■</x:v>
      </x:c>
      <x:c r="AG30" s="26" t="str">
        <x:v>■</x:v>
      </x:c>
      <x:c r="AH30" s="26" t="str">
        <x:v>■</x:v>
      </x:c>
      <x:c r="AI30" s="26" t="str">
        <x:v>■</x:v>
      </x:c>
      <x:c r="AJ30" s="26" t="str">
        <x:v>■</x:v>
      </x:c>
      <x:c r="AK30" s="26" t="str">
        <x:v>■</x:v>
      </x:c>
      <x:c r="AL30" s="26" t="str">
        <x:v>■</x:v>
      </x:c>
      <x:c r="AM30" s="26" t="str">
        <x:v>■</x:v>
      </x:c>
      <x:c r="AN30" s="26" t="str">
        <x:v>■</x:v>
      </x:c>
      <x:c r="AO30" s="26" t="str">
        <x:v>■</x:v>
      </x:c>
      <x:c r="AP30" s="26" t="str">
        <x:v>■</x:v>
      </x:c>
      <x:c r="AQ30" s="26" t="str">
        <x:v>■</x:v>
      </x:c>
      <x:c r="AR30" s="26" t="str">
        <x:v>■</x:v>
      </x:c>
      <x:c r="AS30" s="26" t="str">
        <x:v>■</x:v>
      </x:c>
      <x:c r="AT30" s="26" t="str"/>
      <x:c r="AU30" s="26" t="str"/>
      <x:c r="AV30" s="26" t="str"/>
      <x:c r="AW30" s="26" t="str"/>
      <x:c r="AX30" s="26" t="str"/>
      <x:c r="AY30" s="26" t="str"/>
      <x:c r="AZ30" s="26" t="str"/>
      <x:c r="BA30" s="26" t="str"/>
      <x:c r="BB30" s="26" t="str"/>
      <x:c r="BC30" s="26" t="str"/>
      <x:c r="BD30" s="26" t="str"/>
      <x:c r="BE30" s="26" t="str"/>
      <x:c r="BF30" s="26" t="str"/>
      <x:c r="BG30" s="26" t="str"/>
      <x:c r="BH30" s="26" t="str"/>
      <x:c r="BI30" s="26" t="str"/>
      <x:c r="BJ30" s="26" t="str"/>
      <x:c r="BK30" s="26" t="str"/>
      <x:c r="BL30" s="26" t="str"/>
      <x:c r="BM30" s="26" t="str"/>
      <x:c r="BN30" s="26" t="str"/>
      <x:c r="BO30" s="26" t="str"/>
      <x:c r="BP30" s="26" t="str"/>
    </x:row>
    <x:row r="31">
      <x:c r="H31" t="str">
        <x:v>P8</x:v>
      </x:c>
      <x:c r="I31" s="26" t="str"/>
      <x:c r="J31" s="26" t="str"/>
      <x:c r="K31" s="26" t="str"/>
      <x:c r="L31" s="26" t="str"/>
      <x:c r="M31" s="26" t="str"/>
      <x:c r="N31" s="26" t="str"/>
      <x:c r="O31" s="26" t="str"/>
      <x:c r="P31" s="26" t="str"/>
      <x:c r="Q31" s="26" t="str"/>
      <x:c r="R31" s="26" t="str"/>
      <x:c r="S31" s="26" t="str"/>
      <x:c r="T31" s="26" t="str"/>
      <x:c r="U31" s="26" t="str"/>
      <x:c r="V31" s="26" t="str"/>
      <x:c r="W31" s="26" t="str"/>
      <x:c r="X31" s="26" t="str"/>
      <x:c r="Y31" s="26" t="str"/>
      <x:c r="Z31" s="26" t="str"/>
      <x:c r="AA31" s="26" t="str"/>
      <x:c r="AB31" s="26" t="str"/>
      <x:c r="AC31" s="26" t="str"/>
      <x:c r="AD31" s="26" t="str"/>
      <x:c r="AE31" s="26" t="str"/>
      <x:c r="AF31" s="26" t="str"/>
      <x:c r="AG31" s="26" t="str"/>
      <x:c r="AH31" s="26" t="str"/>
      <x:c r="AI31" s="26" t="str"/>
      <x:c r="AJ31" s="26" t="str">
        <x:v>■</x:v>
      </x:c>
      <x:c r="AK31" s="26" t="str">
        <x:v>■</x:v>
      </x:c>
      <x:c r="AL31" s="26" t="str">
        <x:v>■</x:v>
      </x:c>
      <x:c r="AM31" s="26" t="str">
        <x:v>■</x:v>
      </x:c>
      <x:c r="AN31" s="26" t="str">
        <x:v>■</x:v>
      </x:c>
      <x:c r="AO31" s="26" t="str">
        <x:v>■</x:v>
      </x:c>
      <x:c r="AP31" s="26" t="str">
        <x:v>■</x:v>
      </x:c>
      <x:c r="AQ31" s="26" t="str">
        <x:v>■</x:v>
      </x:c>
      <x:c r="AR31" s="26" t="str">
        <x:v>■</x:v>
      </x:c>
      <x:c r="AS31" s="26" t="str">
        <x:v>■</x:v>
      </x:c>
      <x:c r="AT31" s="26" t="str">
        <x:v>■</x:v>
      </x:c>
      <x:c r="AU31" s="26" t="str">
        <x:v>■</x:v>
      </x:c>
      <x:c r="AV31" s="26" t="str">
        <x:v>■</x:v>
      </x:c>
      <x:c r="AW31" s="26" t="str">
        <x:v>■</x:v>
      </x:c>
      <x:c r="AX31" s="26" t="str">
        <x:v>■</x:v>
      </x:c>
      <x:c r="AY31" s="26" t="str"/>
      <x:c r="AZ31" s="26" t="str"/>
      <x:c r="BA31" s="26" t="str"/>
      <x:c r="BB31" s="26" t="str"/>
      <x:c r="BC31" s="26" t="str"/>
      <x:c r="BD31" s="26" t="str"/>
      <x:c r="BE31" s="26" t="str"/>
      <x:c r="BF31" s="26" t="str"/>
      <x:c r="BG31" s="26" t="str"/>
      <x:c r="BH31" s="26" t="str"/>
      <x:c r="BI31" s="26" t="str"/>
      <x:c r="BJ31" s="26" t="str"/>
      <x:c r="BK31" s="26" t="str"/>
      <x:c r="BL31" s="26" t="str"/>
      <x:c r="BM31" s="26" t="str"/>
      <x:c r="BN31" s="26" t="str"/>
      <x:c r="BO31" s="26" t="str"/>
      <x:c r="BP31" s="26" t="str"/>
    </x:row>
    <x:row r="32">
      <x:c r="H32" t="str">
        <x:v>P9</x:v>
      </x:c>
      <x:c r="I32" s="26" t="str"/>
      <x:c r="J32" s="26" t="str"/>
      <x:c r="K32" s="26" t="str"/>
      <x:c r="L32" s="26" t="str"/>
      <x:c r="M32" s="26" t="str"/>
      <x:c r="N32" s="26" t="str"/>
      <x:c r="O32" s="26" t="str"/>
      <x:c r="P32" s="26" t="str"/>
      <x:c r="Q32" s="26" t="str"/>
      <x:c r="R32" s="26" t="str"/>
      <x:c r="S32" s="26" t="str"/>
      <x:c r="T32" s="26" t="str"/>
      <x:c r="U32" s="26" t="str"/>
      <x:c r="V32" s="26" t="str"/>
      <x:c r="W32" s="26" t="str"/>
      <x:c r="X32" s="26" t="str"/>
      <x:c r="Y32" s="26" t="str"/>
      <x:c r="Z32" s="26" t="str"/>
      <x:c r="AA32" s="26" t="str"/>
      <x:c r="AB32" s="26" t="str"/>
      <x:c r="AC32" s="26" t="str"/>
      <x:c r="AD32" s="26" t="str"/>
      <x:c r="AE32" s="26" t="str"/>
      <x:c r="AF32" s="26" t="str"/>
      <x:c r="AG32" s="26" t="str"/>
      <x:c r="AH32" s="26" t="str"/>
      <x:c r="AI32" s="26" t="str"/>
      <x:c r="AJ32" s="26" t="str"/>
      <x:c r="AK32" s="26" t="str"/>
      <x:c r="AL32" s="26" t="str">
        <x:v>■</x:v>
      </x:c>
      <x:c r="AM32" s="26" t="str">
        <x:v>■</x:v>
      </x:c>
      <x:c r="AN32" s="26" t="str">
        <x:v>■</x:v>
      </x:c>
      <x:c r="AO32" s="26" t="str">
        <x:v>■</x:v>
      </x:c>
      <x:c r="AP32" s="26" t="str">
        <x:v>■</x:v>
      </x:c>
      <x:c r="AQ32" s="26" t="str">
        <x:v>■</x:v>
      </x:c>
      <x:c r="AR32" s="26" t="str">
        <x:v>■</x:v>
      </x:c>
      <x:c r="AS32" s="26" t="str">
        <x:v>■</x:v>
      </x:c>
      <x:c r="AT32" s="26" t="str">
        <x:v>■</x:v>
      </x:c>
      <x:c r="AU32" s="26" t="str">
        <x:v>■</x:v>
      </x:c>
      <x:c r="AV32" s="26" t="str">
        <x:v>■</x:v>
      </x:c>
      <x:c r="AW32" s="26" t="str">
        <x:v>■</x:v>
      </x:c>
      <x:c r="AX32" s="26" t="str">
        <x:v>■</x:v>
      </x:c>
      <x:c r="AY32" s="26" t="str">
        <x:v>■</x:v>
      </x:c>
      <x:c r="AZ32" s="26" t="str"/>
      <x:c r="BA32" s="26" t="str"/>
      <x:c r="BB32" s="26" t="str"/>
      <x:c r="BC32" s="26" t="str"/>
      <x:c r="BD32" s="26" t="str"/>
      <x:c r="BE32" s="26" t="str"/>
      <x:c r="BF32" s="26" t="str"/>
      <x:c r="BG32" s="26" t="str"/>
      <x:c r="BH32" s="26" t="str"/>
      <x:c r="BI32" s="26" t="str"/>
      <x:c r="BJ32" s="26" t="str"/>
      <x:c r="BK32" s="26" t="str"/>
      <x:c r="BL32" s="26" t="str"/>
      <x:c r="BM32" s="26" t="str"/>
      <x:c r="BN32" s="26" t="str"/>
      <x:c r="BO32" s="26" t="str"/>
      <x:c r="BP32" s="26" t="str"/>
    </x:row>
    <x:row r="33">
      <x:c r="H33" t="str">
        <x:v>P10</x:v>
      </x:c>
      <x:c r="I33" s="26" t="str"/>
      <x:c r="J33" s="26" t="str"/>
      <x:c r="K33" s="26" t="str"/>
      <x:c r="L33" s="26" t="str"/>
      <x:c r="M33" s="26" t="str"/>
      <x:c r="N33" s="26" t="str"/>
      <x:c r="O33" s="26" t="str"/>
      <x:c r="P33" s="26" t="str"/>
      <x:c r="Q33" s="26" t="str"/>
      <x:c r="R33" s="26" t="str"/>
      <x:c r="S33" s="26" t="str"/>
      <x:c r="T33" s="26" t="str"/>
      <x:c r="U33" s="26" t="str"/>
      <x:c r="V33" s="26" t="str"/>
      <x:c r="W33" s="26" t="str"/>
      <x:c r="X33" s="26" t="str"/>
      <x:c r="Y33" s="26" t="str"/>
      <x:c r="Z33" s="26" t="str"/>
      <x:c r="AA33" s="26" t="str"/>
      <x:c r="AB33" s="26" t="str"/>
      <x:c r="AC33" s="26" t="str"/>
      <x:c r="AD33" s="26" t="str"/>
      <x:c r="AE33" s="26" t="str"/>
      <x:c r="AF33" s="26" t="str"/>
      <x:c r="AG33" s="26" t="str"/>
      <x:c r="AH33" s="26" t="str"/>
      <x:c r="AI33" s="26" t="str"/>
      <x:c r="AJ33" s="26" t="str"/>
      <x:c r="AK33" s="26" t="str"/>
      <x:c r="AL33" s="26" t="str"/>
      <x:c r="AM33" s="26" t="str"/>
      <x:c r="AN33" s="26" t="str"/>
      <x:c r="AO33" s="26" t="str"/>
      <x:c r="AP33" s="26" t="str">
        <x:v>■</x:v>
      </x:c>
      <x:c r="AQ33" s="26" t="str">
        <x:v>■</x:v>
      </x:c>
      <x:c r="AR33" s="26" t="str">
        <x:v>■</x:v>
      </x:c>
      <x:c r="AS33" s="26" t="str">
        <x:v>■</x:v>
      </x:c>
      <x:c r="AT33" s="26" t="str">
        <x:v>■</x:v>
      </x:c>
      <x:c r="AU33" s="26" t="str">
        <x:v>■</x:v>
      </x:c>
      <x:c r="AV33" s="26" t="str">
        <x:v>■</x:v>
      </x:c>
      <x:c r="AW33" s="26" t="str">
        <x:v>■</x:v>
      </x:c>
      <x:c r="AX33" s="26" t="str">
        <x:v>■</x:v>
      </x:c>
      <x:c r="AY33" s="26" t="str">
        <x:v>■</x:v>
      </x:c>
      <x:c r="AZ33" s="26" t="str">
        <x:v>■</x:v>
      </x:c>
      <x:c r="BA33" s="26" t="str">
        <x:v>■</x:v>
      </x:c>
      <x:c r="BB33" s="26" t="str">
        <x:v>■</x:v>
      </x:c>
      <x:c r="BC33" s="26" t="str">
        <x:v>■</x:v>
      </x:c>
      <x:c r="BD33" s="26" t="str">
        <x:v>■</x:v>
      </x:c>
      <x:c r="BE33" s="26" t="str"/>
      <x:c r="BF33" s="26" t="str"/>
      <x:c r="BG33" s="26" t="str"/>
      <x:c r="BH33" s="26" t="str"/>
      <x:c r="BI33" s="26" t="str"/>
      <x:c r="BJ33" s="26" t="str"/>
      <x:c r="BK33" s="26" t="str"/>
      <x:c r="BL33" s="26" t="str"/>
      <x:c r="BM33" s="26" t="str"/>
      <x:c r="BN33" s="26" t="str"/>
      <x:c r="BO33" s="26" t="str"/>
      <x:c r="BP33" s="26" t="str"/>
    </x:row>
    <x:row r="34">
      <x:c r="H34" t="str">
        <x:v>P11</x:v>
      </x:c>
      <x:c r="I34" s="26" t="str"/>
      <x:c r="J34" s="26" t="str"/>
      <x:c r="K34" s="26" t="str"/>
      <x:c r="L34" s="26" t="str"/>
      <x:c r="M34" s="26" t="str"/>
      <x:c r="N34" s="26" t="str"/>
      <x:c r="O34" s="26" t="str"/>
      <x:c r="P34" s="26" t="str"/>
      <x:c r="Q34" s="26" t="str"/>
      <x:c r="R34" s="26" t="str"/>
      <x:c r="S34" s="26" t="str"/>
      <x:c r="T34" s="26" t="str"/>
      <x:c r="U34" s="26" t="str"/>
      <x:c r="V34" s="26" t="str"/>
      <x:c r="W34" s="26" t="str"/>
      <x:c r="X34" s="26" t="str"/>
      <x:c r="Y34" s="26" t="str"/>
      <x:c r="Z34" s="26" t="str"/>
      <x:c r="AA34" s="26" t="str"/>
      <x:c r="AB34" s="26" t="str"/>
      <x:c r="AC34" s="26" t="str"/>
      <x:c r="AD34" s="26" t="str"/>
      <x:c r="AE34" s="26" t="str"/>
      <x:c r="AF34" s="26" t="str"/>
      <x:c r="AG34" s="26" t="str"/>
      <x:c r="AH34" s="26" t="str"/>
      <x:c r="AI34" s="26" t="str"/>
      <x:c r="AJ34" s="26" t="str"/>
      <x:c r="AK34" s="26" t="str"/>
      <x:c r="AL34" s="26" t="str"/>
      <x:c r="AM34" s="26" t="str"/>
      <x:c r="AN34" s="26" t="str"/>
      <x:c r="AO34" s="26" t="str"/>
      <x:c r="AP34" s="26" t="str"/>
      <x:c r="AQ34" s="26" t="str"/>
      <x:c r="AR34" s="26" t="str"/>
      <x:c r="AS34" s="26" t="str"/>
      <x:c r="AT34" s="26" t="str"/>
      <x:c r="AU34" s="26" t="str"/>
      <x:c r="AV34" s="26" t="str">
        <x:v>■</x:v>
      </x:c>
      <x:c r="AW34" s="26" t="str">
        <x:v>■</x:v>
      </x:c>
      <x:c r="AX34" s="26" t="str">
        <x:v>■</x:v>
      </x:c>
      <x:c r="AY34" s="26" t="str">
        <x:v>■</x:v>
      </x:c>
      <x:c r="AZ34" s="26" t="str">
        <x:v>■</x:v>
      </x:c>
      <x:c r="BA34" s="26" t="str">
        <x:v>■</x:v>
      </x:c>
      <x:c r="BB34" s="26" t="str">
        <x:v>■</x:v>
      </x:c>
      <x:c r="BC34" s="26" t="str">
        <x:v>■</x:v>
      </x:c>
      <x:c r="BD34" s="26" t="str">
        <x:v>■</x:v>
      </x:c>
      <x:c r="BE34" s="26" t="str">
        <x:v>■</x:v>
      </x:c>
      <x:c r="BF34" s="26" t="str">
        <x:v>■</x:v>
      </x:c>
      <x:c r="BG34" s="26" t="str">
        <x:v>■</x:v>
      </x:c>
      <x:c r="BH34" s="26" t="str">
        <x:v>■</x:v>
      </x:c>
      <x:c r="BI34" s="26" t="str">
        <x:v>■</x:v>
      </x:c>
      <x:c r="BJ34" s="26" t="str">
        <x:v>■</x:v>
      </x:c>
      <x:c r="BK34" s="26" t="str">
        <x:v>■</x:v>
      </x:c>
      <x:c r="BL34" s="26" t="str"/>
      <x:c r="BM34" s="26" t="str"/>
      <x:c r="BN34" s="26" t="str"/>
      <x:c r="BO34" s="26" t="str"/>
      <x:c r="BP34" s="26" t="str"/>
    </x:row>
    <x:row r="35">
      <x:c r="H35" t="str">
        <x:v>P12</x:v>
      </x:c>
      <x:c r="I35" s="26" t="str"/>
      <x:c r="J35" s="26" t="str"/>
      <x:c r="K35" s="26" t="str"/>
      <x:c r="L35" s="26" t="str"/>
      <x:c r="M35" s="26" t="str"/>
      <x:c r="N35" s="26" t="str"/>
      <x:c r="O35" s="26" t="str"/>
      <x:c r="P35" s="26" t="str"/>
      <x:c r="Q35" s="26" t="str"/>
      <x:c r="R35" s="26" t="str"/>
      <x:c r="S35" s="26" t="str"/>
      <x:c r="T35" s="26" t="str"/>
      <x:c r="U35" s="26" t="str"/>
      <x:c r="V35" s="26" t="str"/>
      <x:c r="W35" s="26" t="str"/>
      <x:c r="X35" s="26" t="str"/>
      <x:c r="Y35" s="26" t="str"/>
      <x:c r="Z35" s="26" t="str"/>
      <x:c r="AA35" s="26" t="str"/>
      <x:c r="AB35" s="26" t="str"/>
      <x:c r="AC35" s="26" t="str"/>
      <x:c r="AD35" s="26" t="str"/>
      <x:c r="AE35" s="26" t="str"/>
      <x:c r="AF35" s="26" t="str"/>
      <x:c r="AG35" s="26" t="str"/>
      <x:c r="AH35" s="26" t="str"/>
      <x:c r="AI35" s="26" t="str"/>
      <x:c r="AJ35" s="26" t="str"/>
      <x:c r="AK35" s="26" t="str"/>
      <x:c r="AL35" s="26" t="str"/>
      <x:c r="AM35" s="26" t="str"/>
      <x:c r="AN35" s="26" t="str"/>
      <x:c r="AO35" s="26" t="str"/>
      <x:c r="AP35" s="26" t="str"/>
      <x:c r="AQ35" s="26" t="str"/>
      <x:c r="AR35" s="26" t="str"/>
      <x:c r="AS35" s="26" t="str"/>
      <x:c r="AT35" s="26" t="str"/>
      <x:c r="AU35" s="26" t="str"/>
      <x:c r="AV35" s="26" t="str"/>
      <x:c r="AW35" s="26" t="str"/>
      <x:c r="AX35" s="26" t="str"/>
      <x:c r="AY35" s="26" t="str"/>
      <x:c r="AZ35" s="26" t="str"/>
      <x:c r="BA35" s="26" t="str"/>
      <x:c r="BB35" s="26" t="str"/>
      <x:c r="BC35" s="26" t="str"/>
      <x:c r="BD35" s="26" t="str">
        <x:v>■</x:v>
      </x:c>
      <x:c r="BE35" s="26" t="str">
        <x:v>■</x:v>
      </x:c>
      <x:c r="BF35" s="26" t="str">
        <x:v>■</x:v>
      </x:c>
      <x:c r="BG35" s="26" t="str">
        <x:v>■</x:v>
      </x:c>
      <x:c r="BH35" s="26" t="str">
        <x:v>■</x:v>
      </x:c>
      <x:c r="BI35" s="26" t="str">
        <x:v>■</x:v>
      </x:c>
      <x:c r="BJ35" s="26" t="str">
        <x:v>■</x:v>
      </x:c>
      <x:c r="BK35" s="26" t="str">
        <x:v>■</x:v>
      </x:c>
      <x:c r="BL35" s="26" t="str">
        <x:v>■</x:v>
      </x:c>
      <x:c r="BM35" s="26" t="str">
        <x:v>■</x:v>
      </x:c>
      <x:c r="BN35" s="26" t="str">
        <x:v>■</x:v>
      </x:c>
      <x:c r="BO35" s="26" t="str">
        <x:v>■</x:v>
      </x:c>
      <x:c r="BP35" s="26" t="str"/>
    </x:row>
    <x:row r="36">
      <x:c r="H36" t="str">
        <x:v>P13</x:v>
      </x:c>
      <x:c r="I36" s="26" t="str"/>
      <x:c r="J36" s="26" t="str"/>
      <x:c r="K36" s="26" t="str"/>
      <x:c r="L36" s="26" t="str"/>
      <x:c r="M36" s="26" t="str"/>
      <x:c r="N36" s="26" t="str"/>
      <x:c r="O36" s="26" t="str"/>
      <x:c r="P36" s="26" t="str"/>
      <x:c r="Q36" s="26" t="str"/>
      <x:c r="R36" s="26" t="str"/>
      <x:c r="S36" s="26" t="str"/>
      <x:c r="T36" s="26" t="str"/>
      <x:c r="U36" s="26" t="str"/>
      <x:c r="V36" s="26" t="str"/>
      <x:c r="W36" s="26" t="str"/>
      <x:c r="X36" s="26" t="str"/>
      <x:c r="Y36" s="26" t="str"/>
      <x:c r="Z36" s="26" t="str"/>
      <x:c r="AA36" s="26" t="str"/>
      <x:c r="AB36" s="26" t="str"/>
      <x:c r="AC36" s="26" t="str"/>
      <x:c r="AD36" s="26" t="str"/>
      <x:c r="AE36" s="26" t="str"/>
      <x:c r="AF36" s="26" t="str"/>
      <x:c r="AG36" s="26" t="str"/>
      <x:c r="AH36" s="26" t="str"/>
      <x:c r="AI36" s="26" t="str"/>
      <x:c r="AJ36" s="26" t="str"/>
      <x:c r="AK36" s="26" t="str"/>
      <x:c r="AL36" s="26" t="str"/>
      <x:c r="AM36" s="26" t="str"/>
      <x:c r="AN36" s="26" t="str"/>
      <x:c r="AO36" s="26" t="str"/>
      <x:c r="AP36" s="26" t="str"/>
      <x:c r="AQ36" s="26" t="str"/>
      <x:c r="AR36" s="26" t="str"/>
      <x:c r="AS36" s="26" t="str"/>
      <x:c r="AT36" s="26" t="str"/>
      <x:c r="AU36" s="26" t="str"/>
      <x:c r="AV36" s="26" t="str"/>
      <x:c r="AW36" s="26" t="str"/>
      <x:c r="AX36" s="26" t="str"/>
      <x:c r="AY36" s="26" t="str"/>
      <x:c r="AZ36" s="26" t="str"/>
      <x:c r="BA36" s="26" t="str"/>
      <x:c r="BB36" s="26" t="str"/>
      <x:c r="BC36" s="26" t="str"/>
      <x:c r="BD36" s="26" t="str"/>
      <x:c r="BE36" s="26" t="str"/>
      <x:c r="BF36" s="26" t="str"/>
      <x:c r="BG36" s="26" t="str"/>
      <x:c r="BH36" s="26" t="str"/>
      <x:c r="BI36" s="26" t="str"/>
      <x:c r="BJ36" s="26" t="str">
        <x:v>■</x:v>
      </x:c>
      <x:c r="BK36" s="26" t="str">
        <x:v>■</x:v>
      </x:c>
      <x:c r="BL36" s="26" t="str">
        <x:v>■</x:v>
      </x:c>
      <x:c r="BM36" s="26" t="str">
        <x:v>■</x:v>
      </x:c>
      <x:c r="BN36" s="26" t="str">
        <x:v>■</x:v>
      </x:c>
      <x:c r="BO36" s="26" t="str">
        <x:v>■</x:v>
      </x:c>
      <x:c r="BP36" s="26" t="str">
        <x:v>■</x:v>
      </x:c>
    </x:row>
  </x:sheetData>
  <x:mergeCells>
    <x:mergeCell ref="A1:H1"/>
    <x:mergeCell ref="A30:G34"/>
  </x:mergeCells>
  <x:conditionalFormatting sqref="D1:D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ae009348f8714e15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A02B93"/>
            </x14:dataBar>
          </x14:cfRule>
          <xm:sqref>D1:D1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50" hidden="0" customWidth="1"/>
    <x:col min="7" max="7" width="18" hidden="0" customWidth="1"/>
  </x:cols>
  <x:sheetData>
    <x:row r="1">
      <x:c r="A1" s="14" t="str">
        <x:v>Phase</x:v>
      </x:c>
      <x:c r="B1" s="14" t="str">
        <x:v>Name</x:v>
      </x:c>
      <x:c r="C1" s="14" t="str">
        <x:v>Start Week</x:v>
      </x:c>
      <x:c r="D1" s="14" t="str">
        <x:v>End Week</x:v>
      </x:c>
      <x:c r="E1" s="14" t="str">
        <x:v>Gate</x:v>
      </x:c>
      <x:c r="F1" s="14" t="str">
        <x:v>Exit Criteria</x:v>
      </x:c>
      <x:c r="G1" s="14" t="str">
        <x:v>Maturity</x:v>
      </x:c>
    </x:row>
    <x:row r="2">
      <x:c r="A2" s="15" t="str">
        <x:v>P0</x:v>
      </x:c>
      <x:c r="B2" s="15" t="str">
        <x:v>Foundation &amp; Architecture</x:v>
      </x:c>
      <x:c r="C2" s="15" t="n">
        <x:v>1</x:v>
      </x:c>
      <x:c r="D2" s="15" t="n">
        <x:v>4</x:v>
      </x:c>
      <x:c r="E2" s="15" t="str">
        <x:v>G0</x:v>
      </x:c>
      <x:c r="F2" s="15" t="str">
        <x:v>Canonical contracts, ADRs, implementation-truth discipline</x:v>
      </x:c>
      <x:c r="G2" s="15" t="str">
        <x:v>Core</x:v>
      </x:c>
    </x:row>
    <x:row r="3">
      <x:c r="A3" s="15" t="str">
        <x:v>P1</x:v>
      </x:c>
      <x:c r="B3" s="15" t="str">
        <x:v>WorkGraph &amp; Mission Contracts</x:v>
      </x:c>
      <x:c r="C3" s="15" t="n">
        <x:v>3</x:v>
      </x:c>
      <x:c r="D3" s="15" t="n">
        <x:v>8</x:v>
      </x:c>
      <x:c r="E3" s="15" t="str">
        <x:v>G0</x:v>
      </x:c>
      <x:c r="F3" s="15" t="str">
        <x:v>Mission/WorkItem/Evidence contracts and agent-native board model</x:v>
      </x:c>
      <x:c r="G3" s="15" t="str">
        <x:v>Core</x:v>
      </x:c>
    </x:row>
    <x:row r="4">
      <x:c r="A4" s="15" t="str">
        <x:v>P2</x:v>
      </x:c>
      <x:c r="B4" s="15" t="str">
        <x:v>Cell Runtime MVP</x:v>
      </x:c>
      <x:c r="C4" s="15" t="n">
        <x:v>6</x:v>
      </x:c>
      <x:c r="D4" s="15" t="n">
        <x:v>14</x:v>
      </x:c>
      <x:c r="E4" s="15" t="str">
        <x:v>G1</x:v>
      </x:c>
      <x:c r="F4" s="15" t="str">
        <x:v>One immutable Cell Image executes end-to-end</x:v>
      </x:c>
      <x:c r="G4" s="15" t="str">
        <x:v>Core</x:v>
      </x:c>
    </x:row>
    <x:row r="5">
      <x:c r="A5" s="15" t="str">
        <x:v>P3</x:v>
      </x:c>
      <x:c r="B5" s="15" t="str">
        <x:v>CELL Kernel &amp; Capability Security</x:v>
      </x:c>
      <x:c r="C5" s="15" t="n">
        <x:v>9</x:v>
      </x:c>
      <x:c r="D5" s="15" t="n">
        <x:v>18</x:v>
      </x:c>
      <x:c r="E5" s="15" t="str">
        <x:v>G1</x:v>
      </x:c>
      <x:c r="F5" s="15" t="str">
        <x:v>Privileged calls are kernel-mediated, scoped and audited</x:v>
      </x:c>
      <x:c r="G5" s="15" t="str">
        <x:v>Core</x:v>
      </x:c>
    </x:row>
    <x:row r="6">
      <x:c r="A6" s="15" t="str">
        <x:v>P4</x:v>
      </x:c>
      <x:c r="B6" s="15" t="str">
        <x:v>Mission Control &amp; Mission Board</x:v>
      </x:c>
      <x:c r="C6" s="15" t="n">
        <x:v>12</x:v>
      </x:c>
      <x:c r="D6" s="15" t="n">
        <x:v>22</x:v>
      </x:c>
      <x:c r="E6" s="15" t="str">
        <x:v>G2</x:v>
      </x:c>
      <x:c r="F6" s="15" t="str">
        <x:v>Operators and Cells can plan, execute, inspect and update work safely</x:v>
      </x:c>
      <x:c r="G6" s="15" t="str">
        <x:v>Core</x:v>
      </x:c>
    </x:row>
    <x:row r="7">
      <x:c r="A7" s="15" t="str">
        <x:v>P5</x:v>
      </x:c>
      <x:c r="B7" s="15" t="str">
        <x:v>Assurance, Replay &amp; Certification</x:v>
      </x:c>
      <x:c r="C7" s="15" t="n">
        <x:v>16</x:v>
      </x:c>
      <x:c r="D7" s="15" t="n">
        <x:v>27</x:v>
      </x:c>
      <x:c r="E7" s="15" t="str">
        <x:v>G3</x:v>
      </x:c>
      <x:c r="F7" s="15" t="str">
        <x:v>Positive evidence, replay and Mission Assurance Receipt</x:v>
      </x:c>
      <x:c r="G7" s="15" t="str">
        <x:v>Core</x:v>
      </x:c>
    </x:row>
    <x:row r="8">
      <x:c r="A8" s="15" t="str">
        <x:v>P6</x:v>
      </x:c>
      <x:c r="B8" s="15" t="str">
        <x:v>HyperMESH &amp; Context Virtual Memory</x:v>
      </x:c>
      <x:c r="C8" s="15" t="n">
        <x:v>20</x:v>
      </x:c>
      <x:c r="D8" s="15" t="n">
        <x:v>34</x:v>
      </x:c>
      <x:c r="E8" s="15" t="str">
        <x:v>G4</x:v>
      </x:c>
      <x:c r="F8" s="15" t="str">
        <x:v>Provenance-aware knowledge and mission-scoped context paging</x:v>
      </x:c>
      <x:c r="G8" s="15" t="str">
        <x:v>Near</x:v>
      </x:c>
    </x:row>
    <x:row r="9">
      <x:c r="A9" s="15" t="str">
        <x:v>P7</x:v>
      </x:c>
      <x:c r="B9" s="15" t="str">
        <x:v>Cognitive Governor &amp; Formation Router</x:v>
      </x:c>
      <x:c r="C9" s="15" t="n">
        <x:v>24</x:v>
      </x:c>
      <x:c r="D9" s="15" t="n">
        <x:v>37</x:v>
      </x:c>
      <x:c r="E9" s="15" t="str">
        <x:v>G4</x:v>
      </x:c>
      <x:c r="F9" s="15" t="str">
        <x:v>Risk/uncertainty-aware routing and formation selection</x:v>
      </x:c>
      <x:c r="G9" s="15" t="str">
        <x:v>Near</x:v>
      </x:c>
    </x:row>
    <x:row r="10">
      <x:c r="A10" s="15" t="str">
        <x:v>P8</x:v>
      </x:c>
      <x:c r="B10" s="15" t="str">
        <x:v>Shadow Twin &amp; Evolution Chamber</x:v>
      </x:c>
      <x:c r="C10" s="15" t="n">
        <x:v>28</x:v>
      </x:c>
      <x:c r="D10" s="15" t="n">
        <x:v>42</x:v>
      </x:c>
      <x:c r="E10" s="15" t="str">
        <x:v>G5</x:v>
      </x:c>
      <x:c r="F10" s="15" t="str">
        <x:v>Contained counterfactual runs and empirical topology evaluation</x:v>
      </x:c>
      <x:c r="G10" s="15" t="str">
        <x:v>Near</x:v>
      </x:c>
    </x:row>
    <x:row r="11">
      <x:c r="A11" s="15" t="str">
        <x:v>P9</x:v>
      </x:c>
      <x:c r="B11" s="15" t="str">
        <x:v>External Work Integrations</x:v>
      </x:c>
      <x:c r="C11" s="15" t="n">
        <x:v>30</x:v>
      </x:c>
      <x:c r="D11" s="15" t="n">
        <x:v>43</x:v>
      </x:c>
      <x:c r="E11" s="15" t="str">
        <x:v>G5</x:v>
      </x:c>
      <x:c r="F11" s="15" t="str">
        <x:v>Linear/GitHub bridge with canonical CELL OS WorkGraph</x:v>
      </x:c>
      <x:c r="G11" s="15" t="str">
        <x:v>Core</x:v>
      </x:c>
    </x:row>
    <x:row r="12">
      <x:c r="A12" s="15" t="str">
        <x:v>P10</x:v>
      </x:c>
      <x:c r="B12" s="15" t="str">
        <x:v>Avatar / Social / Blueprint Network</x:v>
      </x:c>
      <x:c r="C12" s="15" t="n">
        <x:v>34</x:v>
      </x:c>
      <x:c r="D12" s="15" t="n">
        <x:v>48</x:v>
      </x:c>
      <x:c r="E12" s="15" t="str">
        <x:v>G6</x:v>
      </x:c>
      <x:c r="F12" s="15" t="str">
        <x:v>Optional spatial/social shell stays state-equivalent and evidence-weighted</x:v>
      </x:c>
      <x:c r="G12" s="15" t="str">
        <x:v>Optional</x:v>
      </x:c>
    </x:row>
    <x:row r="13">
      <x:c r="A13" s="15" t="str">
        <x:v>P11</x:v>
      </x:c>
      <x:c r="B13" s="15" t="str">
        <x:v>CELL Mesh Federation</x:v>
      </x:c>
      <x:c r="C13" s="15" t="n">
        <x:v>40</x:v>
      </x:c>
      <x:c r="D13" s="15" t="n">
        <x:v>55</x:v>
      </x:c>
      <x:c r="E13" s="15" t="str">
        <x:v>G7</x:v>
      </x:c>
      <x:c r="F13" s="15" t="str">
        <x:v>Two nodes federate safely with private-by-default boundaries</x:v>
      </x:c>
      <x:c r="G13" s="15" t="str">
        <x:v>Optional</x:v>
      </x:c>
    </x:row>
    <x:row r="14">
      <x:c r="A14" s="15" t="str">
        <x:v>P12</x:v>
      </x:c>
      <x:c r="B14" s="15" t="str">
        <x:v>Organism &amp; Self-Hosting Reliability</x:v>
      </x:c>
      <x:c r="C14" s="15" t="n">
        <x:v>48</x:v>
      </x:c>
      <x:c r="D14" s="15" t="n">
        <x:v>59</x:v>
      </x:c>
      <x:c r="E14" s="15" t="str">
        <x:v>G8</x:v>
      </x:c>
      <x:c r="F14" s="15" t="str">
        <x:v>Persistent orgs + bounded platform self-maintenance</x:v>
      </x:c>
      <x:c r="G14" s="15" t="str">
        <x:v>Near</x:v>
      </x:c>
    </x:row>
    <x:row r="15">
      <x:c r="A15" s="15" t="str">
        <x:v>P13</x:v>
      </x:c>
      <x:c r="B15" s="15" t="str">
        <x:v>Security Hardening &amp; v1 Release</x:v>
      </x:c>
      <x:c r="C15" s="15" t="n">
        <x:v>54</x:v>
      </x:c>
      <x:c r="D15" s="15" t="n">
        <x:v>60</x:v>
      </x:c>
      <x:c r="E15" s="15" t="str">
        <x:v>V1</x:v>
      </x:c>
      <x:c r="F15" s="15" t="str">
        <x:v>SLO, threat model, performance, migration and release gates pass</x:v>
      </x:c>
      <x:c r="G15" s="15" t="str">
        <x:v>Core</x:v>
      </x:c>
    </x:row>
  </x:sheetData>
  <x:pageMargins left="0.7" right="0.7" top="0.75" bottom="0.75" header="0.3" footer="0.3"/>
  <x:tableParts count="1">
    <x:tablePart xmlns:r="http://schemas.openxmlformats.org/officeDocument/2006/relationships" r:id="R5b9adae2d4784e6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22" hidden="0" customWidth="1"/>
    <x:col min="4" max="4" width="20" hidden="0" customWidth="1"/>
    <x:col min="5" max="5" width="42" hidden="0" customWidth="1"/>
    <x:col min="6" max="6" width="10" hidden="0" customWidth="1"/>
    <x:col min="7" max="7" width="9" hidden="0" customWidth="1"/>
    <x:col min="8" max="8" width="20" hidden="0" customWidth="1"/>
    <x:col min="9" max="9" width="14" hidden="0" customWidth="1"/>
    <x:col min="10" max="10" width="10" hidden="0" customWidth="1"/>
    <x:col min="11" max="11" width="20" hidden="0" customWidth="1"/>
    <x:col min="12" max="12" width="44" hidden="0" customWidth="1"/>
    <x:col min="13" max="13" width="18" hidden="0" customWidth="1"/>
    <x:col min="14" max="14" width="20" hidden="0" customWidth="1"/>
    <x:col min="15" max="15" width="24" hidden="0" customWidth="1"/>
  </x:cols>
  <x:sheetData>
    <x:row r="1">
      <x:c r="A1" s="14" t="str">
        <x:v>Ticket ID</x:v>
      </x:c>
      <x:c r="B1" s="14" t="str">
        <x:v>Phase</x:v>
      </x:c>
      <x:c r="C1" s="14" t="str">
        <x:v>Epic</x:v>
      </x:c>
      <x:c r="D1" s="14" t="str">
        <x:v>Workstream</x:v>
      </x:c>
      <x:c r="E1" s="14" t="str">
        <x:v>Ticket</x:v>
      </x:c>
      <x:c r="F1" s="14" t="str">
        <x:v>Type</x:v>
      </x:c>
      <x:c r="G1" s="14" t="str">
        <x:v>Priority</x:v>
      </x:c>
      <x:c r="H1" s="14" t="str">
        <x:v>Owner Role</x:v>
      </x:c>
      <x:c r="I1" s="14" t="str">
        <x:v>Status</x:v>
      </x:c>
      <x:c r="J1" s="14" t="str">
        <x:v>Est. Days</x:v>
      </x:c>
      <x:c r="K1" s="14" t="str">
        <x:v>Dependencies</x:v>
      </x:c>
      <x:c r="L1" s="14" t="str">
        <x:v>Acceptance Criteria</x:v>
      </x:c>
      <x:c r="M1" s="14" t="str">
        <x:v>Linear Mapping</x:v>
      </x:c>
      <x:c r="N1" s="14" t="str">
        <x:v>Cell Board Permission</x:v>
      </x:c>
      <x:c r="O1" s="14" t="str">
        <x:v>Evidence Required</x:v>
      </x:c>
    </x:row>
    <x:row r="2">
      <x:c r="A2" s="15" t="str">
        <x:v>P0-001</x:v>
      </x:c>
      <x:c r="B2" s="15" t="str">
        <x:v>P0</x:v>
      </x:c>
      <x:c r="C2" s="15" t="str">
        <x:v>Architecture Baseline</x:v>
      </x:c>
      <x:c r="D2" s="15" t="str">
        <x:v>Architecture</x:v>
      </x:c>
      <x:c r="E2" s="15" t="str">
        <x:v>Canonicalize CELL OS terminology: Cell, Operative, Cell Image, Mission, WorkGraph, HyperMESH, Kernel</x:v>
      </x:c>
      <x:c r="F2" s="15" t="str">
        <x:v>Build</x:v>
      </x:c>
      <x:c r="G2" s="15" t="str">
        <x:v>P0</x:v>
      </x:c>
      <x:c r="H2" s="15" t="str">
        <x:v>Systems Architect</x:v>
      </x:c>
      <x:c r="I2" s="15" t="str">
        <x:v>Not Started</x:v>
      </x:c>
      <x:c r="J2" s="15" t="n">
        <x:v>2</x:v>
      </x:c>
      <x:c r="K2" s="15" t="str"/>
      <x:c r="L2" s="15" t="str">
        <x:v>Versioned glossary approved; deprecated terms mapped.</x:v>
      </x:c>
      <x:c r="M2" s="15" t="str">
        <x:v>Project/Issue</x:v>
      </x:c>
      <x:c r="N2" s="15" t="str">
        <x:v>Cell can update</x:v>
      </x:c>
      <x:c r="O2" s="15" t="str">
        <x:v>Test + artifact</x:v>
      </x:c>
    </x:row>
    <x:row r="3">
      <x:c r="A3" s="15" t="str">
        <x:v>P0-002</x:v>
      </x:c>
      <x:c r="B3" s="15" t="str">
        <x:v>P0</x:v>
      </x:c>
      <x:c r="C3" s="15" t="str">
        <x:v>Architecture Baseline</x:v>
      </x:c>
      <x:c r="D3" s="15" t="str">
        <x:v>Architecture</x:v>
      </x:c>
      <x:c r="E3" s="15" t="str">
        <x:v>Create implementation-truth ledger with Planned / Prototype / Implemented / Certified states</x:v>
      </x:c>
      <x:c r="F3" s="15" t="str">
        <x:v>Build</x:v>
      </x:c>
      <x:c r="G3" s="15" t="str">
        <x:v>P0</x:v>
      </x:c>
      <x:c r="H3" s="15" t="str">
        <x:v>Systems Architect</x:v>
      </x:c>
      <x:c r="I3" s="15" t="str">
        <x:v>Not Started</x:v>
      </x:c>
      <x:c r="J3" s="15" t="n">
        <x:v>2</x:v>
      </x:c>
      <x:c r="K3" s="15" t="str"/>
      <x:c r="L3" s="15" t="str">
        <x:v>Every named component has maturity state and evidence pointer.</x:v>
      </x:c>
      <x:c r="M3" s="15" t="str">
        <x:v>Project/Issue</x:v>
      </x:c>
      <x:c r="N3" s="15" t="str">
        <x:v>Cell can update</x:v>
      </x:c>
      <x:c r="O3" s="15" t="str">
        <x:v>Test + artifact</x:v>
      </x:c>
    </x:row>
    <x:row r="4">
      <x:c r="A4" s="15" t="str">
        <x:v>P0-003</x:v>
      </x:c>
      <x:c r="B4" s="15" t="str">
        <x:v>P0</x:v>
      </x:c>
      <x:c r="C4" s="15" t="str">
        <x:v>Architecture Baseline</x:v>
      </x:c>
      <x:c r="D4" s="15" t="str">
        <x:v>Architecture</x:v>
      </x:c>
      <x:c r="E4" s="15" t="str">
        <x:v>Create ADR template, decision index and supersession rules</x:v>
      </x:c>
      <x:c r="F4" s="15" t="str">
        <x:v>Build</x:v>
      </x:c>
      <x:c r="G4" s="15" t="str">
        <x:v>P0</x:v>
      </x:c>
      <x:c r="H4" s="15" t="str">
        <x:v>Systems Architect</x:v>
      </x:c>
      <x:c r="I4" s="15" t="str">
        <x:v>Not Started</x:v>
      </x:c>
      <x:c r="J4" s="15" t="n">
        <x:v>2</x:v>
      </x:c>
      <x:c r="K4" s="15" t="str"/>
      <x:c r="L4" s="15" t="str">
        <x:v>ADRs are versioned, searchable and linked to tickets.</x:v>
      </x:c>
      <x:c r="M4" s="15" t="str">
        <x:v>Project/Issue</x:v>
      </x:c>
      <x:c r="N4" s="15" t="str">
        <x:v>Cell can update</x:v>
      </x:c>
      <x:c r="O4" s="15" t="str">
        <x:v>Test + artifact</x:v>
      </x:c>
    </x:row>
    <x:row r="5">
      <x:c r="A5" s="15" t="str">
        <x:v>P0-004</x:v>
      </x:c>
      <x:c r="B5" s="15" t="str">
        <x:v>P0</x:v>
      </x:c>
      <x:c r="C5" s="15" t="str">
        <x:v>Architecture Baseline</x:v>
      </x:c>
      <x:c r="D5" s="15" t="str">
        <x:v>Platform</x:v>
      </x:c>
      <x:c r="E5" s="15" t="str">
        <x:v>Define platform monorepo boundaries and federated workload-repo contract</x:v>
      </x:c>
      <x:c r="F5" s="15" t="str">
        <x:v>Build</x:v>
      </x:c>
      <x:c r="G5" s="15" t="str">
        <x:v>P0</x:v>
      </x:c>
      <x:c r="H5" s="15" t="str">
        <x:v>Platform Engineer</x:v>
      </x:c>
      <x:c r="I5" s="15" t="str">
        <x:v>Not Started</x:v>
      </x:c>
      <x:c r="J5" s="15" t="n">
        <x:v>3</x:v>
      </x:c>
      <x:c r="K5" s="15" t="str"/>
      <x:c r="L5" s="15" t="str">
        <x:v>Import/dependency rules documented and CI-enforceable.</x:v>
      </x:c>
      <x:c r="M5" s="15" t="str">
        <x:v>Project/Issue</x:v>
      </x:c>
      <x:c r="N5" s="15" t="str">
        <x:v>Cell can update</x:v>
      </x:c>
      <x:c r="O5" s="15" t="str">
        <x:v>Test + artifact</x:v>
      </x:c>
    </x:row>
    <x:row r="6">
      <x:c r="A6" s="15" t="str">
        <x:v>P0-005</x:v>
      </x:c>
      <x:c r="B6" s="15" t="str">
        <x:v>P0</x:v>
      </x:c>
      <x:c r="C6" s="15" t="str">
        <x:v>Architecture Baseline</x:v>
      </x:c>
      <x:c r="D6" s="15" t="str">
        <x:v>Security</x:v>
      </x:c>
      <x:c r="E6" s="15" t="str">
        <x:v>Threat-model Kernel/user-space, tenant, secret, evidence and federation boundaries</x:v>
      </x:c>
      <x:c r="F6" s="15" t="str">
        <x:v>Build</x:v>
      </x:c>
      <x:c r="G6" s="15" t="str">
        <x:v>P0</x:v>
      </x:c>
      <x:c r="H6" s="15" t="str">
        <x:v>Security Engineer</x:v>
      </x:c>
      <x:c r="I6" s="15" t="str">
        <x:v>Not Started</x:v>
      </x:c>
      <x:c r="J6" s="15" t="n">
        <x:v>4</x:v>
      </x:c>
      <x:c r="K6" s="15" t="str"/>
      <x:c r="L6" s="15" t="str">
        <x:v>Threat model has assets, trust boundaries, abuse cases and mitigations.</x:v>
      </x:c>
      <x:c r="M6" s="15" t="str">
        <x:v>Project/Issue</x:v>
      </x:c>
      <x:c r="N6" s="15" t="str">
        <x:v>Cell can update</x:v>
      </x:c>
      <x:c r="O6" s="15" t="str">
        <x:v>Test + artifact</x:v>
      </x:c>
    </x:row>
    <x:row r="7">
      <x:c r="A7" s="15" t="str">
        <x:v>P0-006</x:v>
      </x:c>
      <x:c r="B7" s="15" t="str">
        <x:v>P0</x:v>
      </x:c>
      <x:c r="C7" s="15" t="str">
        <x:v>Architecture Baseline</x:v>
      </x:c>
      <x:c r="D7" s="15" t="str">
        <x:v>Data</x:v>
      </x:c>
      <x:c r="E7" s="15" t="str">
        <x:v>Define canonical IDs, versioning, timestamps and provenance envelope</x:v>
      </x:c>
      <x:c r="F7" s="15" t="str">
        <x:v>Build</x:v>
      </x:c>
      <x:c r="G7" s="15" t="str">
        <x:v>P0</x:v>
      </x:c>
      <x:c r="H7" s="15" t="str">
        <x:v>Platform Engineer</x:v>
      </x:c>
      <x:c r="I7" s="15" t="str">
        <x:v>Not Started</x:v>
      </x:c>
      <x:c r="J7" s="15" t="n">
        <x:v>2</x:v>
      </x:c>
      <x:c r="K7" s="15" t="str"/>
      <x:c r="L7" s="15" t="str">
        <x:v>Cross-service object identity contract round-trips.</x:v>
      </x:c>
      <x:c r="M7" s="15" t="str">
        <x:v>Project/Issue</x:v>
      </x:c>
      <x:c r="N7" s="15" t="str">
        <x:v>Cell can update</x:v>
      </x:c>
      <x:c r="O7" s="15" t="str">
        <x:v>Test + artifact</x:v>
      </x:c>
    </x:row>
    <x:row r="8">
      <x:c r="A8" s="15" t="str">
        <x:v>P0-007</x:v>
      </x:c>
      <x:c r="B8" s="15" t="str">
        <x:v>P0</x:v>
      </x:c>
      <x:c r="C8" s="15" t="str">
        <x:v>Architecture Baseline</x:v>
      </x:c>
      <x:c r="D8" s="15" t="str">
        <x:v>Events</x:v>
      </x:c>
      <x:c r="E8" s="15" t="str">
        <x:v>Define append-only event envelope and idempotency semantics</x:v>
      </x:c>
      <x:c r="F8" s="15" t="str">
        <x:v>Build</x:v>
      </x:c>
      <x:c r="G8" s="15" t="str">
        <x:v>P0</x:v>
      </x:c>
      <x:c r="H8" s="15" t="str">
        <x:v>Platform Engineer</x:v>
      </x:c>
      <x:c r="I8" s="15" t="str">
        <x:v>Not Started</x:v>
      </x:c>
      <x:c r="J8" s="15" t="n">
        <x:v>3</x:v>
      </x:c>
      <x:c r="K8" s="15" t="str"/>
      <x:c r="L8" s="15" t="str">
        <x:v>Duplicate delivery tests prove idempotent consumers.</x:v>
      </x:c>
      <x:c r="M8" s="15" t="str">
        <x:v>Project/Issue</x:v>
      </x:c>
      <x:c r="N8" s="15" t="str">
        <x:v>Cell can update</x:v>
      </x:c>
      <x:c r="O8" s="15" t="str">
        <x:v>Test + artifact</x:v>
      </x:c>
    </x:row>
    <x:row r="9">
      <x:c r="A9" s="15" t="str">
        <x:v>P0-008</x:v>
      </x:c>
      <x:c r="B9" s="15" t="str">
        <x:v>P0</x:v>
      </x:c>
      <x:c r="C9" s="15" t="str">
        <x:v>Architecture Baseline</x:v>
      </x:c>
      <x:c r="D9" s="15" t="str">
        <x:v>Observability</x:v>
      </x:c>
      <x:c r="E9" s="15" t="str">
        <x:v>Define trace/span correlation across mission, Cell, Operative, run and capability call</x:v>
      </x:c>
      <x:c r="F9" s="15" t="str">
        <x:v>Build</x:v>
      </x:c>
      <x:c r="G9" s="15" t="str">
        <x:v>P0</x:v>
      </x:c>
      <x:c r="H9" s="15" t="str">
        <x:v>SRE</x:v>
      </x:c>
      <x:c r="I9" s="15" t="str">
        <x:v>Not Started</x:v>
      </x:c>
      <x:c r="J9" s="15" t="n">
        <x:v>2</x:v>
      </x:c>
      <x:c r="K9" s="15" t="str"/>
      <x:c r="L9" s="15" t="str">
        <x:v>One correlation ID scheme documented and testable.</x:v>
      </x:c>
      <x:c r="M9" s="15" t="str">
        <x:v>Project/Issue</x:v>
      </x:c>
      <x:c r="N9" s="15" t="str">
        <x:v>Cell can update</x:v>
      </x:c>
      <x:c r="O9" s="15" t="str">
        <x:v>Test + artifact</x:v>
      </x:c>
    </x:row>
    <x:row r="10">
      <x:c r="A10" s="15" t="str">
        <x:v>P0-009</x:v>
      </x:c>
      <x:c r="B10" s="15" t="str">
        <x:v>P0</x:v>
      </x:c>
      <x:c r="C10" s="15" t="str">
        <x:v>Architecture Baseline</x:v>
      </x:c>
      <x:c r="D10" s="15" t="str">
        <x:v>Research</x:v>
      </x:c>
      <x:c r="E10" s="15" t="str">
        <x:v>Create research-hypothesis registry and evidence maturity rubric</x:v>
      </x:c>
      <x:c r="F10" s="15" t="str">
        <x:v>Research</x:v>
      </x:c>
      <x:c r="G10" s="15" t="str">
        <x:v>P1</x:v>
      </x:c>
      <x:c r="H10" s="15" t="str">
        <x:v>AI Research Engineer</x:v>
      </x:c>
      <x:c r="I10" s="15" t="str">
        <x:v>Not Started</x:v>
      </x:c>
      <x:c r="J10" s="15" t="n">
        <x:v>2</x:v>
      </x:c>
      <x:c r="K10" s="15" t="str"/>
      <x:c r="L10" s="15" t="str">
        <x:v>Hypotheses separated from product commitments.</x:v>
      </x:c>
      <x:c r="M10" s="15" t="str">
        <x:v>Project/Issue</x:v>
      </x:c>
      <x:c r="N10" s="15" t="str">
        <x:v>Cell can update</x:v>
      </x:c>
      <x:c r="O10" s="15" t="str">
        <x:v>Test + artifact</x:v>
      </x:c>
    </x:row>
    <x:row r="11">
      <x:c r="A11" s="15" t="str">
        <x:v>P0-010</x:v>
      </x:c>
      <x:c r="B11" s="15" t="str">
        <x:v>P0</x:v>
      </x:c>
      <x:c r="C11" s="15" t="str">
        <x:v>Architecture Baseline</x:v>
      </x:c>
      <x:c r="D11" s="15" t="str">
        <x:v>QA</x:v>
      </x:c>
      <x:c r="E11" s="15" t="str">
        <x:v>Create architecture conformance test skeleton</x:v>
      </x:c>
      <x:c r="F11" s="15" t="str">
        <x:v>Build</x:v>
      </x:c>
      <x:c r="G11" s="15" t="str">
        <x:v>P1</x:v>
      </x:c>
      <x:c r="H11" s="15" t="str">
        <x:v>QA Engineer</x:v>
      </x:c>
      <x:c r="I11" s="15" t="str">
        <x:v>Not Started</x:v>
      </x:c>
      <x:c r="J11" s="15" t="n">
        <x:v>3</x:v>
      </x:c>
      <x:c r="K11" s="15" t="str"/>
      <x:c r="L11" s="15" t="str">
        <x:v>CI rejects forbidden cross-domain dependency examples.</x:v>
      </x:c>
      <x:c r="M11" s="15" t="str">
        <x:v>Project/Issue</x:v>
      </x:c>
      <x:c r="N11" s="15" t="str">
        <x:v>Cell can update</x:v>
      </x:c>
      <x:c r="O11" s="15" t="str">
        <x:v>Test + artifact</x:v>
      </x:c>
    </x:row>
    <x:row r="12">
      <x:c r="A12" s="15" t="str">
        <x:v>P1-001</x:v>
      </x:c>
      <x:c r="B12" s="15" t="str">
        <x:v>P1</x:v>
      </x:c>
      <x:c r="C12" s="15" t="str">
        <x:v>Mission Contracts</x:v>
      </x:c>
      <x:c r="D12" s="15" t="str">
        <x:v>Contracts</x:v>
      </x:c>
      <x:c r="E12" s="15" t="str">
        <x:v>Define MissionContract schema: objective, constraints, risk, authority, budget, evidence</x:v>
      </x:c>
      <x:c r="F12" s="15" t="str">
        <x:v>Build</x:v>
      </x:c>
      <x:c r="G12" s="15" t="str">
        <x:v>P0</x:v>
      </x:c>
      <x:c r="H12" s="15" t="str">
        <x:v>Platform Engineer</x:v>
      </x:c>
      <x:c r="I12" s="15" t="str">
        <x:v>Not Started</x:v>
      </x:c>
      <x:c r="J12" s="15" t="n">
        <x:v>3</x:v>
      </x:c>
      <x:c r="K12" s="15" t="str"/>
      <x:c r="L12" s="15" t="str">
        <x:v>Schema validates examples and supports version diff.</x:v>
      </x:c>
      <x:c r="M12" s="15" t="str">
        <x:v>Project/Issue</x:v>
      </x:c>
      <x:c r="N12" s="15" t="str">
        <x:v>Cell can update</x:v>
      </x:c>
      <x:c r="O12" s="15" t="str">
        <x:v>Test + artifact</x:v>
      </x:c>
    </x:row>
    <x:row r="13">
      <x:c r="A13" s="15" t="str">
        <x:v>P1-002</x:v>
      </x:c>
      <x:c r="B13" s="15" t="str">
        <x:v>P1</x:v>
      </x:c>
      <x:c r="C13" s="15" t="str">
        <x:v>Mission Contracts</x:v>
      </x:c>
      <x:c r="D13" s="15" t="str">
        <x:v>Contracts</x:v>
      </x:c>
      <x:c r="E13" s="15" t="str">
        <x:v>Define Success/Assurance Contract schema with positive assertions</x:v>
      </x:c>
      <x:c r="F13" s="15" t="str">
        <x:v>Build</x:v>
      </x:c>
      <x:c r="G13" s="15" t="str">
        <x:v>P0</x:v>
      </x:c>
      <x:c r="H13" s="15" t="str">
        <x:v>QA Engineer</x:v>
      </x:c>
      <x:c r="I13" s="15" t="str">
        <x:v>Not Started</x:v>
      </x:c>
      <x:c r="J13" s="15" t="n">
        <x:v>3</x:v>
      </x:c>
      <x:c r="K13" s="15" t="str">
        <x:v>P1-001</x:v>
      </x:c>
      <x:c r="L13" s="15" t="str">
        <x:v>Mission can declare machine-checkable evidence expectations.</x:v>
      </x:c>
      <x:c r="M13" s="15" t="str">
        <x:v>Project/Issue</x:v>
      </x:c>
      <x:c r="N13" s="15" t="str">
        <x:v>Cell can update</x:v>
      </x:c>
      <x:c r="O13" s="15" t="str">
        <x:v>Test + artifact</x:v>
      </x:c>
    </x:row>
    <x:row r="14">
      <x:c r="A14" s="15" t="str">
        <x:v>P1-003</x:v>
      </x:c>
      <x:c r="B14" s="15" t="str">
        <x:v>P1</x:v>
      </x:c>
      <x:c r="C14" s="15" t="str">
        <x:v>WorkGraph</x:v>
      </x:c>
      <x:c r="D14" s="15" t="str">
        <x:v>Data Model</x:v>
      </x:c>
      <x:c r="E14" s="15" t="str">
        <x:v>Define WorkItem types: Initiative, Project, Mission, WorkPackage, Ticket, Node, Gate, Decision</x:v>
      </x:c>
      <x:c r="F14" s="15" t="str">
        <x:v>Build</x:v>
      </x:c>
      <x:c r="G14" s="15" t="str">
        <x:v>P0</x:v>
      </x:c>
      <x:c r="H14" s="15" t="str">
        <x:v>Platform Engineer</x:v>
      </x:c>
      <x:c r="I14" s="15" t="str">
        <x:v>Not Started</x:v>
      </x:c>
      <x:c r="J14" s="15" t="n">
        <x:v>3</x:v>
      </x:c>
      <x:c r="K14" s="15" t="str"/>
      <x:c r="L14" s="15" t="str">
        <x:v>Typed hierarchy and relations documented.</x:v>
      </x:c>
      <x:c r="M14" s="15" t="str">
        <x:v>Project/Issue</x:v>
      </x:c>
      <x:c r="N14" s="15" t="str">
        <x:v>Cell can update</x:v>
      </x:c>
      <x:c r="O14" s="15" t="str">
        <x:v>Test + artifact</x:v>
      </x:c>
    </x:row>
    <x:row r="15">
      <x:c r="A15" s="15" t="str">
        <x:v>P1-004</x:v>
      </x:c>
      <x:c r="B15" s="15" t="str">
        <x:v>P1</x:v>
      </x:c>
      <x:c r="C15" s="15" t="str">
        <x:v>WorkGraph</x:v>
      </x:c>
      <x:c r="D15" s="15" t="str">
        <x:v>Data Model</x:v>
      </x:c>
      <x:c r="E15" s="15" t="str">
        <x:v>Define WorkItem relation model: parent, blocks, depends, related, duplicate, spawned-from, evidence-for</x:v>
      </x:c>
      <x:c r="F15" s="15" t="str">
        <x:v>Build</x:v>
      </x:c>
      <x:c r="G15" s="15" t="str">
        <x:v>P0</x:v>
      </x:c>
      <x:c r="H15" s="15" t="str">
        <x:v>Platform Engineer</x:v>
      </x:c>
      <x:c r="I15" s="15" t="str">
        <x:v>Not Started</x:v>
      </x:c>
      <x:c r="J15" s="15" t="n">
        <x:v>2</x:v>
      </x:c>
      <x:c r="K15" s="15" t="str"/>
      <x:c r="L15" s="15" t="str">
        <x:v>Graph integrity rules and cycle policy defined.</x:v>
      </x:c>
      <x:c r="M15" s="15" t="str">
        <x:v>Project/Issue</x:v>
      </x:c>
      <x:c r="N15" s="15" t="str">
        <x:v>Cell can update</x:v>
      </x:c>
      <x:c r="O15" s="15" t="str">
        <x:v>Test + artifact</x:v>
      </x:c>
    </x:row>
    <x:row r="16">
      <x:c r="A16" s="15" t="str">
        <x:v>P1-005</x:v>
      </x:c>
      <x:c r="B16" s="15" t="str">
        <x:v>P1</x:v>
      </x:c>
      <x:c r="C16" s="15" t="str">
        <x:v>WorkGraph</x:v>
      </x:c>
      <x:c r="D16" s="15" t="str">
        <x:v>State Machine</x:v>
      </x:c>
      <x:c r="E16" s="15" t="str">
        <x:v>Define canonical work states separate from run states</x:v>
      </x:c>
      <x:c r="F16" s="15" t="str">
        <x:v>Build</x:v>
      </x:c>
      <x:c r="G16" s="15" t="str">
        <x:v>P0</x:v>
      </x:c>
      <x:c r="H16" s="15" t="str">
        <x:v>Systems Architect</x:v>
      </x:c>
      <x:c r="I16" s="15" t="str">
        <x:v>Not Started</x:v>
      </x:c>
      <x:c r="J16" s="15" t="n">
        <x:v>2</x:v>
      </x:c>
      <x:c r="K16" s="15" t="str"/>
      <x:c r="L16" s="15" t="str">
        <x:v>Work status cannot be spoofed by an agent run status.</x:v>
      </x:c>
      <x:c r="M16" s="15" t="str">
        <x:v>Project/Issue</x:v>
      </x:c>
      <x:c r="N16" s="15" t="str">
        <x:v>Cell can update</x:v>
      </x:c>
      <x:c r="O16" s="15" t="str">
        <x:v>Test + artifact</x:v>
      </x:c>
    </x:row>
    <x:row r="17">
      <x:c r="A17" s="15" t="str">
        <x:v>P1-006</x:v>
      </x:c>
      <x:c r="B17" s="15" t="str">
        <x:v>P1</x:v>
      </x:c>
      <x:c r="C17" s="15" t="str">
        <x:v>WorkGraph</x:v>
      </x:c>
      <x:c r="D17" s="15" t="str">
        <x:v>State Machine</x:v>
      </x:c>
      <x:c r="E17" s="15" t="str">
        <x:v>Define run states: queued, ready, running, waiting, blocked, verifying, gate, failed, terminated</x:v>
      </x:c>
      <x:c r="F17" s="15" t="str">
        <x:v>Build</x:v>
      </x:c>
      <x:c r="G17" s="15" t="str">
        <x:v>P0</x:v>
      </x:c>
      <x:c r="H17" s="15" t="str">
        <x:v>Runtime Engineer</x:v>
      </x:c>
      <x:c r="I17" s="15" t="str">
        <x:v>Not Started</x:v>
      </x:c>
      <x:c r="J17" s="15" t="n">
        <x:v>2</x:v>
      </x:c>
      <x:c r="K17" s="15" t="str"/>
      <x:c r="L17" s="15" t="str">
        <x:v>Deterministic transition table with invariants.</x:v>
      </x:c>
      <x:c r="M17" s="15" t="str">
        <x:v>Project/Issue</x:v>
      </x:c>
      <x:c r="N17" s="15" t="str">
        <x:v>Cell can update</x:v>
      </x:c>
      <x:c r="O17" s="15" t="str">
        <x:v>Test + artifact</x:v>
      </x:c>
    </x:row>
    <x:row r="18">
      <x:c r="A18" s="15" t="str">
        <x:v>P1-007</x:v>
      </x:c>
      <x:c r="B18" s="15" t="str">
        <x:v>P1</x:v>
      </x:c>
      <x:c r="C18" s="15" t="str">
        <x:v>WorkGraph</x:v>
      </x:c>
      <x:c r="D18" s="15" t="str">
        <x:v>Evidence</x:v>
      </x:c>
      <x:c r="E18" s="15" t="str">
        <x:v>Define EvidenceObject and EvidenceRequirement contracts</x:v>
      </x:c>
      <x:c r="F18" s="15" t="str">
        <x:v>Build</x:v>
      </x:c>
      <x:c r="G18" s="15" t="str">
        <x:v>P0</x:v>
      </x:c>
      <x:c r="H18" s="15" t="str">
        <x:v>QA Engineer</x:v>
      </x:c>
      <x:c r="I18" s="15" t="str">
        <x:v>Not Started</x:v>
      </x:c>
      <x:c r="J18" s="15" t="n">
        <x:v>3</x:v>
      </x:c>
      <x:c r="K18" s="15" t="str"/>
      <x:c r="L18" s="15" t="str">
        <x:v>Evidence is typed, attributable, immutable and linkable.</x:v>
      </x:c>
      <x:c r="M18" s="15" t="str">
        <x:v>Project/Issue</x:v>
      </x:c>
      <x:c r="N18" s="15" t="str">
        <x:v>Cell can update</x:v>
      </x:c>
      <x:c r="O18" s="15" t="str">
        <x:v>Test + artifact</x:v>
      </x:c>
    </x:row>
    <x:row r="19">
      <x:c r="A19" s="15" t="str">
        <x:v>P1-008</x:v>
      </x:c>
      <x:c r="B19" s="15" t="str">
        <x:v>P1</x:v>
      </x:c>
      <x:c r="C19" s="15" t="str">
        <x:v>WorkGraph</x:v>
      </x:c>
      <x:c r="D19" s="15" t="str">
        <x:v>Ownership</x:v>
      </x:c>
      <x:c r="E19" s="15" t="str">
        <x:v>Define human/Cell/Operative/Worker actor model and responsibility semantics</x:v>
      </x:c>
      <x:c r="F19" s="15" t="str">
        <x:v>Build</x:v>
      </x:c>
      <x:c r="G19" s="15" t="str">
        <x:v>P0</x:v>
      </x:c>
      <x:c r="H19" s="15" t="str">
        <x:v>Platform Engineer</x:v>
      </x:c>
      <x:c r="I19" s="15" t="str">
        <x:v>Not Started</x:v>
      </x:c>
      <x:c r="J19" s="15" t="n">
        <x:v>2</x:v>
      </x:c>
      <x:c r="K19" s="15" t="str"/>
      <x:c r="L19" s="15" t="str">
        <x:v>Owner, executor and approver are distinguishable.</x:v>
      </x:c>
      <x:c r="M19" s="15" t="str">
        <x:v>Project/Issue</x:v>
      </x:c>
      <x:c r="N19" s="15" t="str">
        <x:v>Cell can update</x:v>
      </x:c>
      <x:c r="O19" s="15" t="str">
        <x:v>Test + artifact</x:v>
      </x:c>
    </x:row>
    <x:row r="20">
      <x:c r="A20" s="15" t="str">
        <x:v>P1-009</x:v>
      </x:c>
      <x:c r="B20" s="15" t="str">
        <x:v>P1</x:v>
      </x:c>
      <x:c r="C20" s="15" t="str">
        <x:v>WorkGraph</x:v>
      </x:c>
      <x:c r="D20" s="15" t="str">
        <x:v>Agent API</x:v>
      </x:c>
      <x:c r="E20" s="15" t="str">
        <x:v>Define agent-native WorkGraph API: create/update/claim/comment/link/complete/request-gate</x:v>
      </x:c>
      <x:c r="F20" s="15" t="str">
        <x:v>Build</x:v>
      </x:c>
      <x:c r="G20" s="15" t="str">
        <x:v>P0</x:v>
      </x:c>
      <x:c r="H20" s="15" t="str">
        <x:v>Platform Engineer</x:v>
      </x:c>
      <x:c r="I20" s="15" t="str">
        <x:v>Not Started</x:v>
      </x:c>
      <x:c r="J20" s="15" t="n">
        <x:v>4</x:v>
      </x:c>
      <x:c r="K20" s="15" t="str"/>
      <x:c r="L20" s="15" t="str">
        <x:v>API operations have permission and idempotency contract.</x:v>
      </x:c>
      <x:c r="M20" s="15" t="str">
        <x:v>Project/Issue</x:v>
      </x:c>
      <x:c r="N20" s="15" t="str">
        <x:v>Cell can update</x:v>
      </x:c>
      <x:c r="O20" s="15" t="str">
        <x:v>Test + artifact</x:v>
      </x:c>
    </x:row>
    <x:row r="21">
      <x:c r="A21" s="15" t="str">
        <x:v>P1-010</x:v>
      </x:c>
      <x:c r="B21" s="15" t="str">
        <x:v>P1</x:v>
      </x:c>
      <x:c r="C21" s="15" t="str">
        <x:v>WorkGraph</x:v>
      </x:c>
      <x:c r="D21" s="15" t="str">
        <x:v>Concurrency</x:v>
      </x:c>
      <x:c r="E21" s="15" t="str">
        <x:v>Implement atomic work checkout / claim lease semantics</x:v>
      </x:c>
      <x:c r="F21" s="15" t="str">
        <x:v>Build</x:v>
      </x:c>
      <x:c r="G21" s="15" t="str">
        <x:v>P0</x:v>
      </x:c>
      <x:c r="H21" s="15" t="str">
        <x:v>Platform Engineer</x:v>
      </x:c>
      <x:c r="I21" s="15" t="str">
        <x:v>Not Started</x:v>
      </x:c>
      <x:c r="J21" s="15" t="n">
        <x:v>3</x:v>
      </x:c>
      <x:c r="K21" s="15" t="str"/>
      <x:c r="L21" s="15" t="str">
        <x:v>Two Cells cannot silently execute exclusive ticket simultaneously.</x:v>
      </x:c>
      <x:c r="M21" s="15" t="str">
        <x:v>Project/Issue</x:v>
      </x:c>
      <x:c r="N21" s="15" t="str">
        <x:v>Cell can update</x:v>
      </x:c>
      <x:c r="O21" s="15" t="str">
        <x:v>Test + artifact</x:v>
      </x:c>
    </x:row>
    <x:row r="22">
      <x:c r="A22" s="15" t="str">
        <x:v>P1-011</x:v>
      </x:c>
      <x:c r="B22" s="15" t="str">
        <x:v>P1</x:v>
      </x:c>
      <x:c r="C22" s="15" t="str">
        <x:v>WorkGraph</x:v>
      </x:c>
      <x:c r="D22" s="15" t="str">
        <x:v>Governance</x:v>
      </x:c>
      <x:c r="E22" s="15" t="str">
        <x:v>Define capability scopes work.read/work.create/work.update/work.assign/work.close/work.admin</x:v>
      </x:c>
      <x:c r="F22" s="15" t="str">
        <x:v>Build</x:v>
      </x:c>
      <x:c r="G22" s="15" t="str">
        <x:v>P0</x:v>
      </x:c>
      <x:c r="H22" s="15" t="str">
        <x:v>Security Engineer</x:v>
      </x:c>
      <x:c r="I22" s="15" t="str">
        <x:v>Not Started</x:v>
      </x:c>
      <x:c r="J22" s="15" t="n">
        <x:v>2</x:v>
      </x:c>
      <x:c r="K22" s="15" t="str"/>
      <x:c r="L22" s="15" t="str">
        <x:v>Kernel can deny unauthorized board changes.</x:v>
      </x:c>
      <x:c r="M22" s="15" t="str">
        <x:v>Project/Issue</x:v>
      </x:c>
      <x:c r="N22" s="15" t="str">
        <x:v>Cell can update</x:v>
      </x:c>
      <x:c r="O22" s="15" t="str">
        <x:v>Test + artifact</x:v>
      </x:c>
    </x:row>
    <x:row r="23">
      <x:c r="A23" s="15" t="str">
        <x:v>P1-012</x:v>
      </x:c>
      <x:c r="B23" s="15" t="str">
        <x:v>P1</x:v>
      </x:c>
      <x:c r="C23" s="15" t="str">
        <x:v>WorkGraph</x:v>
      </x:c>
      <x:c r="D23" s="15" t="str">
        <x:v>Governance</x:v>
      </x:c>
      <x:c r="E23" s="15" t="str">
        <x:v>Require evidence gate before verified completion</x:v>
      </x:c>
      <x:c r="F23" s="15" t="str">
        <x:v>Build</x:v>
      </x:c>
      <x:c r="G23" s="15" t="str">
        <x:v>P0</x:v>
      </x:c>
      <x:c r="H23" s="15" t="str">
        <x:v>QA Engineer</x:v>
      </x:c>
      <x:c r="I23" s="15" t="str">
        <x:v>Not Started</x:v>
      </x:c>
      <x:c r="J23" s="15" t="n">
        <x:v>3</x:v>
      </x:c>
      <x:c r="K23" s="15" t="str"/>
      <x:c r="L23" s="15" t="str">
        <x:v>Agent comment/status alone cannot produce VERIFIED_SUCCESS.</x:v>
      </x:c>
      <x:c r="M23" s="15" t="str">
        <x:v>Project/Issue</x:v>
      </x:c>
      <x:c r="N23" s="15" t="str">
        <x:v>Cell can update</x:v>
      </x:c>
      <x:c r="O23" s="15" t="str">
        <x:v>Test + artifact</x:v>
      </x:c>
    </x:row>
    <x:row r="24">
      <x:c r="A24" s="15" t="str">
        <x:v>P1-013</x:v>
      </x:c>
      <x:c r="B24" s="15" t="str">
        <x:v>P1</x:v>
      </x:c>
      <x:c r="C24" s="15" t="str">
        <x:v>WorkGraph</x:v>
      </x:c>
      <x:c r="D24" s="15" t="str">
        <x:v>Planning</x:v>
      </x:c>
      <x:c r="E24" s="15" t="str">
        <x:v>Define planning horizon primitives: initiative, milestone, cycle/window, due date, priority</x:v>
      </x:c>
      <x:c r="F24" s="15" t="str">
        <x:v>Build</x:v>
      </x:c>
      <x:c r="G24" s="15" t="str">
        <x:v>P1</x:v>
      </x:c>
      <x:c r="H24" s="15" t="str">
        <x:v>Product Architect</x:v>
      </x:c>
      <x:c r="I24" s="15" t="str">
        <x:v>Not Started</x:v>
      </x:c>
      <x:c r="J24" s="15" t="n">
        <x:v>2</x:v>
      </x:c>
      <x:c r="K24" s="15" t="str"/>
      <x:c r="L24" s="15" t="str">
        <x:v>Supports roadmap planning without coupling to Linear.</x:v>
      </x:c>
      <x:c r="M24" s="15" t="str">
        <x:v>Project/Issue</x:v>
      </x:c>
      <x:c r="N24" s="15" t="str">
        <x:v>Cell can update</x:v>
      </x:c>
      <x:c r="O24" s="15" t="str">
        <x:v>Test + artifact</x:v>
      </x:c>
    </x:row>
    <x:row r="25">
      <x:c r="A25" s="15" t="str">
        <x:v>P1-014</x:v>
      </x:c>
      <x:c r="B25" s="15" t="str">
        <x:v>P1</x:v>
      </x:c>
      <x:c r="C25" s="15" t="str">
        <x:v>WorkGraph</x:v>
      </x:c>
      <x:c r="D25" s="15" t="str">
        <x:v>Audit</x:v>
      </x:c>
      <x:c r="E25" s="15" t="str">
        <x:v>Define task event journal and provenance fields for every mutation</x:v>
      </x:c>
      <x:c r="F25" s="15" t="str">
        <x:v>Build</x:v>
      </x:c>
      <x:c r="G25" s="15" t="str">
        <x:v>P0</x:v>
      </x:c>
      <x:c r="H25" s="15" t="str">
        <x:v>Platform Engineer</x:v>
      </x:c>
      <x:c r="I25" s="15" t="str">
        <x:v>Not Started</x:v>
      </x:c>
      <x:c r="J25" s="15" t="n">
        <x:v>2</x:v>
      </x:c>
      <x:c r="K25" s="15" t="str"/>
      <x:c r="L25" s="15" t="str">
        <x:v>Every state change identifies actor, source, reason and prior value.</x:v>
      </x:c>
      <x:c r="M25" s="15" t="str">
        <x:v>Project/Issue</x:v>
      </x:c>
      <x:c r="N25" s="15" t="str">
        <x:v>Cell can update</x:v>
      </x:c>
      <x:c r="O25" s="15" t="str">
        <x:v>Test + artifact</x:v>
      </x:c>
    </x:row>
    <x:row r="26">
      <x:c r="A26" s="15" t="str">
        <x:v>P1-015</x:v>
      </x:c>
      <x:c r="B26" s="15" t="str">
        <x:v>P1</x:v>
      </x:c>
      <x:c r="C26" s="15" t="str">
        <x:v>WorkGraph</x:v>
      </x:c>
      <x:c r="D26" s="15" t="str">
        <x:v>Research</x:v>
      </x:c>
      <x:c r="E26" s="15" t="str">
        <x:v>Benchmark Linear/Paperclip/Jira task semantics against CELL OS requirements</x:v>
      </x:c>
      <x:c r="F26" s="15" t="str">
        <x:v>Research</x:v>
      </x:c>
      <x:c r="G26" s="15" t="str">
        <x:v>P1</x:v>
      </x:c>
      <x:c r="H26" s="15" t="str">
        <x:v>Product Researcher</x:v>
      </x:c>
      <x:c r="I26" s="15" t="str">
        <x:v>Not Started</x:v>
      </x:c>
      <x:c r="J26" s="15" t="n">
        <x:v>3</x:v>
      </x:c>
      <x:c r="K26" s="15" t="str"/>
      <x:c r="L26" s="15" t="str">
        <x:v>Gap matrix and adopt/avoid decisions approved.</x:v>
      </x:c>
      <x:c r="M26" s="15" t="str">
        <x:v>Project/Issue</x:v>
      </x:c>
      <x:c r="N26" s="15" t="str">
        <x:v>Cell can update</x:v>
      </x:c>
      <x:c r="O26" s="15" t="str">
        <x:v>Test + artifact</x:v>
      </x:c>
    </x:row>
    <x:row r="27">
      <x:c r="A27" s="15" t="str">
        <x:v>P2-001</x:v>
      </x:c>
      <x:c r="B27" s="15" t="str">
        <x:v>P2</x:v>
      </x:c>
      <x:c r="C27" s="15" t="str">
        <x:v>Cell Runtime MVP</x:v>
      </x:c>
      <x:c r="D27" s="15" t="str">
        <x:v>Compiler</x:v>
      </x:c>
      <x:c r="E27" s="15" t="str">
        <x:v>Implement blueprint-to-Org-IR compiler skeleton</x:v>
      </x:c>
      <x:c r="F27" s="15" t="str">
        <x:v>Build</x:v>
      </x:c>
      <x:c r="G27" s="15" t="str">
        <x:v>P0</x:v>
      </x:c>
      <x:c r="H27" s="15" t="str">
        <x:v>Platform Engineer</x:v>
      </x:c>
      <x:c r="I27" s="15" t="str">
        <x:v>Not Started</x:v>
      </x:c>
      <x:c r="J27" s="15" t="n">
        <x:v>2</x:v>
      </x:c>
      <x:c r="K27" s="15" t="str"/>
      <x:c r="L27" s="15" t="str">
        <x:v>Automated test, reviewed artifact or benchmark demonstrates the defined contract.</x:v>
      </x:c>
      <x:c r="M27" s="15" t="str">
        <x:v>Project/Issue</x:v>
      </x:c>
      <x:c r="N27" s="15" t="str">
        <x:v>Cell can update</x:v>
      </x:c>
      <x:c r="O27" s="15" t="str">
        <x:v>Test + artifact</x:v>
      </x:c>
    </x:row>
    <x:row r="28">
      <x:c r="A28" s="15" t="str">
        <x:v>P2-002</x:v>
      </x:c>
      <x:c r="B28" s="15" t="str">
        <x:v>P2</x:v>
      </x:c>
      <x:c r="C28" s="15" t="str">
        <x:v>Cell Runtime MVP</x:v>
      </x:c>
      <x:c r="D28" s="15" t="str">
        <x:v>Compiler</x:v>
      </x:c>
      <x:c r="E28" s="15" t="str">
        <x:v>Resolve models, tools, policies, memory mounts and evaluator dependencies</x:v>
      </x:c>
      <x:c r="F28" s="15" t="str">
        <x:v>Build</x:v>
      </x:c>
      <x:c r="G28" s="15" t="str">
        <x:v>P0</x:v>
      </x:c>
      <x:c r="H28" s="15" t="str">
        <x:v>Platform Engineer</x:v>
      </x:c>
      <x:c r="I28" s="15" t="str">
        <x:v>Not Started</x:v>
      </x:c>
      <x:c r="J28" s="15" t="n">
        <x:v>3</x:v>
      </x:c>
      <x:c r="K28" s="15" t="str"/>
      <x:c r="L28" s="15" t="str">
        <x:v>Automated test, reviewed artifact or benchmark demonstrates the defined contract.</x:v>
      </x:c>
      <x:c r="M28" s="15" t="str">
        <x:v>Project/Issue</x:v>
      </x:c>
      <x:c r="N28" s="15" t="str">
        <x:v>Cell can update</x:v>
      </x:c>
      <x:c r="O28" s="15" t="str">
        <x:v>Test + artifact</x:v>
      </x:c>
    </x:row>
    <x:row r="29">
      <x:c r="A29" s="15" t="str">
        <x:v>P2-003</x:v>
      </x:c>
      <x:c r="B29" s="15" t="str">
        <x:v>P2</x:v>
      </x:c>
      <x:c r="C29" s="15" t="str">
        <x:v>Cell Runtime MVP</x:v>
      </x:c>
      <x:c r="D29" s="15" t="str">
        <x:v>Image</x:v>
      </x:c>
      <x:c r="E29" s="15" t="str">
        <x:v>Define immutable Cell Image manifest and behavior digest</x:v>
      </x:c>
      <x:c r="F29" s="15" t="str">
        <x:v>Build</x:v>
      </x:c>
      <x:c r="G29" s="15" t="str">
        <x:v>P0</x:v>
      </x:c>
      <x:c r="H29" s="15" t="str">
        <x:v>Platform Engineer</x:v>
      </x:c>
      <x:c r="I29" s="15" t="str">
        <x:v>Not Started</x:v>
      </x:c>
      <x:c r="J29" s="15" t="n">
        <x:v>4</x:v>
      </x:c>
      <x:c r="K29" s="15" t="str"/>
      <x:c r="L29" s="15" t="str">
        <x:v>Automated test, reviewed artifact or benchmark demonstrates the defined contract.</x:v>
      </x:c>
      <x:c r="M29" s="15" t="str">
        <x:v>Project/Issue</x:v>
      </x:c>
      <x:c r="N29" s="15" t="str">
        <x:v>Cell can update</x:v>
      </x:c>
      <x:c r="O29" s="15" t="str">
        <x:v>Test + artifact</x:v>
      </x:c>
    </x:row>
    <x:row r="30">
      <x:c r="A30" s="15" t="str">
        <x:v>P2-004</x:v>
      </x:c>
      <x:c r="B30" s="15" t="str">
        <x:v>P2</x:v>
      </x:c>
      <x:c r="C30" s="15" t="str">
        <x:v>Cell Runtime MVP</x:v>
      </x:c>
      <x:c r="D30" s="15" t="str">
        <x:v>Image</x:v>
      </x:c>
      <x:c r="E30" s="15" t="str">
        <x:v>Implement Cell Image build and hash verification</x:v>
      </x:c>
      <x:c r="F30" s="15" t="str">
        <x:v>Build</x:v>
      </x:c>
      <x:c r="G30" s="15" t="str">
        <x:v>P0</x:v>
      </x:c>
      <x:c r="H30" s="15" t="str">
        <x:v>Platform Engineer</x:v>
      </x:c>
      <x:c r="I30" s="15" t="str">
        <x:v>Not Started</x:v>
      </x:c>
      <x:c r="J30" s="15" t="n">
        <x:v>2</x:v>
      </x:c>
      <x:c r="K30" s="15" t="str"/>
      <x:c r="L30" s="15" t="str">
        <x:v>Automated test, reviewed artifact or benchmark demonstrates the defined contract.</x:v>
      </x:c>
      <x:c r="M30" s="15" t="str">
        <x:v>Project/Issue</x:v>
      </x:c>
      <x:c r="N30" s="15" t="str">
        <x:v>Cell can update</x:v>
      </x:c>
      <x:c r="O30" s="15" t="str">
        <x:v>Test + artifact</x:v>
      </x:c>
    </x:row>
    <x:row r="31">
      <x:c r="A31" s="15" t="str">
        <x:v>P2-005</x:v>
      </x:c>
      <x:c r="B31" s="15" t="str">
        <x:v>P2</x:v>
      </x:c>
      <x:c r="C31" s="15" t="str">
        <x:v>Cell Runtime MVP</x:v>
      </x:c>
      <x:c r="D31" s="15" t="str">
        <x:v>Loader</x:v>
      </x:c>
      <x:c r="E31" s="15" t="str">
        <x:v>Implement Cell Loader compatibility/policy checks</x:v>
      </x:c>
      <x:c r="F31" s="15" t="str">
        <x:v>Build</x:v>
      </x:c>
      <x:c r="G31" s="15" t="str">
        <x:v>P0</x:v>
      </x:c>
      <x:c r="H31" s="15" t="str">
        <x:v>Runtime Engineer</x:v>
      </x:c>
      <x:c r="I31" s="15" t="str">
        <x:v>Not Started</x:v>
      </x:c>
      <x:c r="J31" s="15" t="n">
        <x:v>3</x:v>
      </x:c>
      <x:c r="K31" s="15" t="str"/>
      <x:c r="L31" s="15" t="str">
        <x:v>Automated test, reviewed artifact or benchmark demonstrates the defined contract.</x:v>
      </x:c>
      <x:c r="M31" s="15" t="str">
        <x:v>Project/Issue</x:v>
      </x:c>
      <x:c r="N31" s="15" t="str">
        <x:v>Cell can update</x:v>
      </x:c>
      <x:c r="O31" s="15" t="str">
        <x:v>Test + artifact</x:v>
      </x:c>
    </x:row>
    <x:row r="32">
      <x:c r="A32" s="15" t="str">
        <x:v>P2-006</x:v>
      </x:c>
      <x:c r="B32" s="15" t="str">
        <x:v>P2</x:v>
      </x:c>
      <x:c r="C32" s="15" t="str">
        <x:v>Cell Runtime MVP</x:v>
      </x:c>
      <x:c r="D32" s="15" t="str">
        <x:v>Lifecycle</x:v>
      </x:c>
      <x:c r="E32" s="15" t="str">
        <x:v>Implement Cell lifecycle state machine</x:v>
      </x:c>
      <x:c r="F32" s="15" t="str">
        <x:v>Build</x:v>
      </x:c>
      <x:c r="G32" s="15" t="str">
        <x:v>P0</x:v>
      </x:c>
      <x:c r="H32" s="15" t="str">
        <x:v>Runtime Engineer</x:v>
      </x:c>
      <x:c r="I32" s="15" t="str">
        <x:v>Not Started</x:v>
      </x:c>
      <x:c r="J32" s="15" t="n">
        <x:v>4</x:v>
      </x:c>
      <x:c r="K32" s="15" t="str"/>
      <x:c r="L32" s="15" t="str">
        <x:v>Automated test, reviewed artifact or benchmark demonstrates the defined contract.</x:v>
      </x:c>
      <x:c r="M32" s="15" t="str">
        <x:v>Project/Issue</x:v>
      </x:c>
      <x:c r="N32" s="15" t="str">
        <x:v>Cell can update</x:v>
      </x:c>
      <x:c r="O32" s="15" t="str">
        <x:v>Test + artifact</x:v>
      </x:c>
    </x:row>
    <x:row r="33">
      <x:c r="A33" s="15" t="str">
        <x:v>P2-007</x:v>
      </x:c>
      <x:c r="B33" s="15" t="str">
        <x:v>P2</x:v>
      </x:c>
      <x:c r="C33" s="15" t="str">
        <x:v>Cell Runtime MVP</x:v>
      </x:c>
      <x:c r="D33" s="15" t="str">
        <x:v>Operative Runtime</x:v>
      </x:c>
      <x:c r="E33" s="15" t="str">
        <x:v>Implement Operative adapter abstraction across model providers</x:v>
      </x:c>
      <x:c r="F33" s="15" t="str">
        <x:v>Build</x:v>
      </x:c>
      <x:c r="G33" s="15" t="str">
        <x:v>P0</x:v>
      </x:c>
      <x:c r="H33" s="15" t="str">
        <x:v>Agent Engineer</x:v>
      </x:c>
      <x:c r="I33" s="15" t="str">
        <x:v>Not Started</x:v>
      </x:c>
      <x:c r="J33" s="15" t="n">
        <x:v>2</x:v>
      </x:c>
      <x:c r="K33" s="15" t="str"/>
      <x:c r="L33" s="15" t="str">
        <x:v>Automated test, reviewed artifact or benchmark demonstrates the defined contract.</x:v>
      </x:c>
      <x:c r="M33" s="15" t="str">
        <x:v>Project/Issue</x:v>
      </x:c>
      <x:c r="N33" s="15" t="str">
        <x:v>Cell can update</x:v>
      </x:c>
      <x:c r="O33" s="15" t="str">
        <x:v>Test + artifact</x:v>
      </x:c>
    </x:row>
    <x:row r="34">
      <x:c r="A34" s="15" t="str">
        <x:v>P2-008</x:v>
      </x:c>
      <x:c r="B34" s="15" t="str">
        <x:v>P2</x:v>
      </x:c>
      <x:c r="C34" s="15" t="str">
        <x:v>Cell Runtime MVP</x:v>
      </x:c>
      <x:c r="D34" s="15" t="str">
        <x:v>Worker Runtime</x:v>
      </x:c>
      <x:c r="E34" s="15" t="str">
        <x:v>Implement deterministic Worker adapter with typed I/O</x:v>
      </x:c>
      <x:c r="F34" s="15" t="str">
        <x:v>Build</x:v>
      </x:c>
      <x:c r="G34" s="15" t="str">
        <x:v>P0</x:v>
      </x:c>
      <x:c r="H34" s="15" t="str">
        <x:v>Runtime Engineer</x:v>
      </x:c>
      <x:c r="I34" s="15" t="str">
        <x:v>Not Started</x:v>
      </x:c>
      <x:c r="J34" s="15" t="n">
        <x:v>3</x:v>
      </x:c>
      <x:c r="K34" s="15" t="str"/>
      <x:c r="L34" s="15" t="str">
        <x:v>Automated test, reviewed artifact or benchmark demonstrates the defined contract.</x:v>
      </x:c>
      <x:c r="M34" s="15" t="str">
        <x:v>Project/Issue</x:v>
      </x:c>
      <x:c r="N34" s="15" t="str">
        <x:v>Cell can update</x:v>
      </x:c>
      <x:c r="O34" s="15" t="str">
        <x:v>Test + artifact</x:v>
      </x:c>
    </x:row>
    <x:row r="35">
      <x:c r="A35" s="15" t="str">
        <x:v>P2-009</x:v>
      </x:c>
      <x:c r="B35" s="15" t="str">
        <x:v>P2</x:v>
      </x:c>
      <x:c r="C35" s="15" t="str">
        <x:v>Cell Runtime MVP</x:v>
      </x:c>
      <x:c r="D35" s="15" t="str">
        <x:v>Runtime</x:v>
      </x:c>
      <x:c r="E35" s="15" t="str">
        <x:v>Integrate existing Prefect/orchestrator workflow as first Cell vertical</x:v>
      </x:c>
      <x:c r="F35" s="15" t="str">
        <x:v>Build</x:v>
      </x:c>
      <x:c r="G35" s="15" t="str">
        <x:v>P0</x:v>
      </x:c>
      <x:c r="H35" s="15" t="str">
        <x:v>Runtime Engineer</x:v>
      </x:c>
      <x:c r="I35" s="15" t="str">
        <x:v>Not Started</x:v>
      </x:c>
      <x:c r="J35" s="15" t="n">
        <x:v>4</x:v>
      </x:c>
      <x:c r="K35" s="15" t="str"/>
      <x:c r="L35" s="15" t="str">
        <x:v>Automated test, reviewed artifact or benchmark demonstrates the defined contract.</x:v>
      </x:c>
      <x:c r="M35" s="15" t="str">
        <x:v>Project/Issue</x:v>
      </x:c>
      <x:c r="N35" s="15" t="str">
        <x:v>Cell can update</x:v>
      </x:c>
      <x:c r="O35" s="15" t="str">
        <x:v>Test + artifact</x:v>
      </x:c>
    </x:row>
    <x:row r="36">
      <x:c r="A36" s="15" t="str">
        <x:v>P2-010</x:v>
      </x:c>
      <x:c r="B36" s="15" t="str">
        <x:v>P2</x:v>
      </x:c>
      <x:c r="C36" s="15" t="str">
        <x:v>Cell Runtime MVP</x:v>
      </x:c>
      <x:c r="D36" s="15" t="str">
        <x:v>CellBus</x:v>
      </x:c>
      <x:c r="E36" s="15" t="str">
        <x:v>Implement local typed CellBus event transport</x:v>
      </x:c>
      <x:c r="F36" s="15" t="str">
        <x:v>Build</x:v>
      </x:c>
      <x:c r="G36" s="15" t="str">
        <x:v>P0</x:v>
      </x:c>
      <x:c r="H36" s="15" t="str">
        <x:v>Platform Engineer</x:v>
      </x:c>
      <x:c r="I36" s="15" t="str">
        <x:v>Not Started</x:v>
      </x:c>
      <x:c r="J36" s="15" t="n">
        <x:v>2</x:v>
      </x:c>
      <x:c r="K36" s="15" t="str"/>
      <x:c r="L36" s="15" t="str">
        <x:v>Automated test, reviewed artifact or benchmark demonstrates the defined contract.</x:v>
      </x:c>
      <x:c r="M36" s="15" t="str">
        <x:v>Project/Issue</x:v>
      </x:c>
      <x:c r="N36" s="15" t="str">
        <x:v>Cell can update</x:v>
      </x:c>
      <x:c r="O36" s="15" t="str">
        <x:v>Test + artifact</x:v>
      </x:c>
    </x:row>
    <x:row r="37">
      <x:c r="A37" s="15" t="str">
        <x:v>P2-011</x:v>
      </x:c>
      <x:c r="B37" s="15" t="str">
        <x:v>P2</x:v>
      </x:c>
      <x:c r="C37" s="15" t="str">
        <x:v>Cell Runtime MVP</x:v>
      </x:c>
      <x:c r="D37" s="15" t="str">
        <x:v>Supervisor</x:v>
      </x:c>
      <x:c r="E37" s="15" t="str">
        <x:v>Implement Cell heartbeat and liveness supervisor</x:v>
      </x:c>
      <x:c r="F37" s="15" t="str">
        <x:v>Build</x:v>
      </x:c>
      <x:c r="G37" s="15" t="str">
        <x:v>P0</x:v>
      </x:c>
      <x:c r="H37" s="15" t="str">
        <x:v>SRE</x:v>
      </x:c>
      <x:c r="I37" s="15" t="str">
        <x:v>Not Started</x:v>
      </x:c>
      <x:c r="J37" s="15" t="n">
        <x:v>3</x:v>
      </x:c>
      <x:c r="K37" s="15" t="str"/>
      <x:c r="L37" s="15" t="str">
        <x:v>Automated test, reviewed artifact or benchmark demonstrates the defined contract.</x:v>
      </x:c>
      <x:c r="M37" s="15" t="str">
        <x:v>Project/Issue</x:v>
      </x:c>
      <x:c r="N37" s="15" t="str">
        <x:v>Cell can update</x:v>
      </x:c>
      <x:c r="O37" s="15" t="str">
        <x:v>Test + artifact</x:v>
      </x:c>
    </x:row>
    <x:row r="38">
      <x:c r="A38" s="15" t="str">
        <x:v>P2-012</x:v>
      </x:c>
      <x:c r="B38" s="15" t="str">
        <x:v>P2</x:v>
      </x:c>
      <x:c r="C38" s="15" t="str">
        <x:v>Cell Runtime MVP</x:v>
      </x:c>
      <x:c r="D38" s="15" t="str">
        <x:v>Recovery</x:v>
      </x:c>
      <x:c r="E38" s="15" t="str">
        <x:v>Implement bounded retry, backoff and quarantine semantics</x:v>
      </x:c>
      <x:c r="F38" s="15" t="str">
        <x:v>Build</x:v>
      </x:c>
      <x:c r="G38" s="15" t="str">
        <x:v>P0</x:v>
      </x:c>
      <x:c r="H38" s="15" t="str">
        <x:v>SRE</x:v>
      </x:c>
      <x:c r="I38" s="15" t="str">
        <x:v>Not Started</x:v>
      </x:c>
      <x:c r="J38" s="15" t="n">
        <x:v>4</x:v>
      </x:c>
      <x:c r="K38" s="15" t="str"/>
      <x:c r="L38" s="15" t="str">
        <x:v>Automated test, reviewed artifact or benchmark demonstrates the defined contract.</x:v>
      </x:c>
      <x:c r="M38" s="15" t="str">
        <x:v>Project/Issue</x:v>
      </x:c>
      <x:c r="N38" s="15" t="str">
        <x:v>Cell can update</x:v>
      </x:c>
      <x:c r="O38" s="15" t="str">
        <x:v>Test + artifact</x:v>
      </x:c>
    </x:row>
    <x:row r="39">
      <x:c r="A39" s="15" t="str">
        <x:v>P2-013</x:v>
      </x:c>
      <x:c r="B39" s="15" t="str">
        <x:v>P2</x:v>
      </x:c>
      <x:c r="C39" s="15" t="str">
        <x:v>Cell Runtime MVP</x:v>
      </x:c>
      <x:c r="D39" s="15" t="str">
        <x:v>Runtime</x:v>
      </x:c>
      <x:c r="E39" s="15" t="str">
        <x:v>Implement child-Cell spawn request path</x:v>
      </x:c>
      <x:c r="F39" s="15" t="str">
        <x:v>Build</x:v>
      </x:c>
      <x:c r="G39" s="15" t="str">
        <x:v>P0</x:v>
      </x:c>
      <x:c r="H39" s="15" t="str">
        <x:v>Platform Engineer</x:v>
      </x:c>
      <x:c r="I39" s="15" t="str">
        <x:v>Not Started</x:v>
      </x:c>
      <x:c r="J39" s="15" t="n">
        <x:v>2</x:v>
      </x:c>
      <x:c r="K39" s="15" t="str"/>
      <x:c r="L39" s="15" t="str">
        <x:v>Automated test, reviewed artifact or benchmark demonstrates the defined contract.</x:v>
      </x:c>
      <x:c r="M39" s="15" t="str">
        <x:v>Project/Issue</x:v>
      </x:c>
      <x:c r="N39" s="15" t="str">
        <x:v>Cell can update</x:v>
      </x:c>
      <x:c r="O39" s="15" t="str">
        <x:v>Test + artifact</x:v>
      </x:c>
    </x:row>
    <x:row r="40">
      <x:c r="A40" s="15" t="str">
        <x:v>P2-014</x:v>
      </x:c>
      <x:c r="B40" s="15" t="str">
        <x:v>P2</x:v>
      </x:c>
      <x:c r="C40" s="15" t="str">
        <x:v>Cell Runtime MVP</x:v>
      </x:c>
      <x:c r="D40" s="15" t="str">
        <x:v>QA</x:v>
      </x:c>
      <x:c r="E40" s="15" t="str">
        <x:v>Build first real Cell end-to-end fixture</x:v>
      </x:c>
      <x:c r="F40" s="15" t="str">
        <x:v>Build</x:v>
      </x:c>
      <x:c r="G40" s="15" t="str">
        <x:v>P0</x:v>
      </x:c>
      <x:c r="H40" s="15" t="str">
        <x:v>QA Engineer</x:v>
      </x:c>
      <x:c r="I40" s="15" t="str">
        <x:v>Not Started</x:v>
      </x:c>
      <x:c r="J40" s="15" t="n">
        <x:v>3</x:v>
      </x:c>
      <x:c r="K40" s="15" t="str"/>
      <x:c r="L40" s="15" t="str">
        <x:v>Automated test, reviewed artifact or benchmark demonstrates the defined contract.</x:v>
      </x:c>
      <x:c r="M40" s="15" t="str">
        <x:v>Project/Issue</x:v>
      </x:c>
      <x:c r="N40" s="15" t="str">
        <x:v>Cell can update</x:v>
      </x:c>
      <x:c r="O40" s="15" t="str">
        <x:v>Test + artifact</x:v>
      </x:c>
    </x:row>
    <x:row r="41">
      <x:c r="A41" s="15" t="str">
        <x:v>P2-015</x:v>
      </x:c>
      <x:c r="B41" s="15" t="str">
        <x:v>P2</x:v>
      </x:c>
      <x:c r="C41" s="15" t="str">
        <x:v>Cell Runtime MVP</x:v>
      </x:c>
      <x:c r="D41" s="15" t="str">
        <x:v>Performance</x:v>
      </x:c>
      <x:c r="E41" s="15" t="str">
        <x:v>Benchmark runtime overhead versus current workflow</x:v>
      </x:c>
      <x:c r="F41" s="15" t="str">
        <x:v>Build</x:v>
      </x:c>
      <x:c r="G41" s="15" t="str">
        <x:v>P1</x:v>
      </x:c>
      <x:c r="H41" s="15" t="str">
        <x:v>Performance Engineer</x:v>
      </x:c>
      <x:c r="I41" s="15" t="str">
        <x:v>Not Started</x:v>
      </x:c>
      <x:c r="J41" s="15" t="n">
        <x:v>4</x:v>
      </x:c>
      <x:c r="K41" s="15" t="str"/>
      <x:c r="L41" s="15" t="str">
        <x:v>Automated test, reviewed artifact or benchmark demonstrates the defined contract.</x:v>
      </x:c>
      <x:c r="M41" s="15" t="str">
        <x:v>Project/Issue</x:v>
      </x:c>
      <x:c r="N41" s="15" t="str">
        <x:v>Cell can update</x:v>
      </x:c>
      <x:c r="O41" s="15" t="str">
        <x:v>Test + artifact</x:v>
      </x:c>
    </x:row>
    <x:row r="42">
      <x:c r="A42" s="15" t="str">
        <x:v>P3-001</x:v>
      </x:c>
      <x:c r="B42" s="15" t="str">
        <x:v>P3</x:v>
      </x:c>
      <x:c r="C42" s="15" t="str">
        <x:v>CELL Kernel</x:v>
      </x:c>
      <x:c r="D42" s="15" t="str">
        <x:v>Kernel</x:v>
      </x:c>
      <x:c r="E42" s="15" t="str">
        <x:v>Implement Kernel policy decision point</x:v>
      </x:c>
      <x:c r="F42" s="15" t="str">
        <x:v>Build</x:v>
      </x:c>
      <x:c r="G42" s="15" t="str">
        <x:v>P0</x:v>
      </x:c>
      <x:c r="H42" s="15" t="str">
        <x:v>Security Engineer</x:v>
      </x:c>
      <x:c r="I42" s="15" t="str">
        <x:v>Not Started</x:v>
      </x:c>
      <x:c r="J42" s="15" t="n">
        <x:v>2</x:v>
      </x:c>
      <x:c r="K42" s="15" t="str"/>
      <x:c r="L42" s="15" t="str">
        <x:v>Automated test, reviewed artifact or benchmark demonstrates the defined contract.</x:v>
      </x:c>
      <x:c r="M42" s="15" t="str">
        <x:v>Project/Issue</x:v>
      </x:c>
      <x:c r="N42" s="15" t="str">
        <x:v>Cell can update</x:v>
      </x:c>
      <x:c r="O42" s="15" t="str">
        <x:v>Test + artifact</x:v>
      </x:c>
    </x:row>
    <x:row r="43">
      <x:c r="A43" s="15" t="str">
        <x:v>P3-002</x:v>
      </x:c>
      <x:c r="B43" s="15" t="str">
        <x:v>P3</x:v>
      </x:c>
      <x:c r="C43" s="15" t="str">
        <x:v>CELL Kernel</x:v>
      </x:c>
      <x:c r="D43" s="15" t="str">
        <x:v>Identity</x:v>
      </x:c>
      <x:c r="E43" s="15" t="str">
        <x:v>Implement actor identity and service identity model</x:v>
      </x:c>
      <x:c r="F43" s="15" t="str">
        <x:v>Build</x:v>
      </x:c>
      <x:c r="G43" s="15" t="str">
        <x:v>P0</x:v>
      </x:c>
      <x:c r="H43" s="15" t="str">
        <x:v>Security Engineer</x:v>
      </x:c>
      <x:c r="I43" s="15" t="str">
        <x:v>Not Started</x:v>
      </x:c>
      <x:c r="J43" s="15" t="n">
        <x:v>3</x:v>
      </x:c>
      <x:c r="K43" s="15" t="str"/>
      <x:c r="L43" s="15" t="str">
        <x:v>Automated test, reviewed artifact or benchmark demonstrates the defined contract.</x:v>
      </x:c>
      <x:c r="M43" s="15" t="str">
        <x:v>Project/Issue</x:v>
      </x:c>
      <x:c r="N43" s="15" t="str">
        <x:v>Cell can update</x:v>
      </x:c>
      <x:c r="O43" s="15" t="str">
        <x:v>Test + artifact</x:v>
      </x:c>
    </x:row>
    <x:row r="44">
      <x:c r="A44" s="15" t="str">
        <x:v>P3-003</x:v>
      </x:c>
      <x:c r="B44" s="15" t="str">
        <x:v>P3</x:v>
      </x:c>
      <x:c r="C44" s="15" t="str">
        <x:v>CELL Kernel</x:v>
      </x:c>
      <x:c r="D44" s="15" t="str">
        <x:v>Capabilities</x:v>
      </x:c>
      <x:c r="E44" s="15" t="str">
        <x:v>Implement Capability Descriptor registry</x:v>
      </x:c>
      <x:c r="F44" s="15" t="str">
        <x:v>Build</x:v>
      </x:c>
      <x:c r="G44" s="15" t="str">
        <x:v>P0</x:v>
      </x:c>
      <x:c r="H44" s="15" t="str">
        <x:v>Security Engineer</x:v>
      </x:c>
      <x:c r="I44" s="15" t="str">
        <x:v>Not Started</x:v>
      </x:c>
      <x:c r="J44" s="15" t="n">
        <x:v>4</x:v>
      </x:c>
      <x:c r="K44" s="15" t="str"/>
      <x:c r="L44" s="15" t="str">
        <x:v>Automated test, reviewed artifact or benchmark demonstrates the defined contract.</x:v>
      </x:c>
      <x:c r="M44" s="15" t="str">
        <x:v>Project/Issue</x:v>
      </x:c>
      <x:c r="N44" s="15" t="str">
        <x:v>Cell can update</x:v>
      </x:c>
      <x:c r="O44" s="15" t="str">
        <x:v>Test + artifact</x:v>
      </x:c>
    </x:row>
    <x:row r="45">
      <x:c r="A45" s="15" t="str">
        <x:v>P3-004</x:v>
      </x:c>
      <x:c r="B45" s="15" t="str">
        <x:v>P3</x:v>
      </x:c>
      <x:c r="C45" s="15" t="str">
        <x:v>CELL Kernel</x:v>
      </x:c>
      <x:c r="D45" s="15" t="str">
        <x:v>Capabilities</x:v>
      </x:c>
      <x:c r="E45" s="15" t="str">
        <x:v>Implement kernel-mediated capability router / syscall path</x:v>
      </x:c>
      <x:c r="F45" s="15" t="str">
        <x:v>Build</x:v>
      </x:c>
      <x:c r="G45" s="15" t="str">
        <x:v>P0</x:v>
      </x:c>
      <x:c r="H45" s="15" t="str">
        <x:v>Security Engineer</x:v>
      </x:c>
      <x:c r="I45" s="15" t="str">
        <x:v>Not Started</x:v>
      </x:c>
      <x:c r="J45" s="15" t="n">
        <x:v>2</x:v>
      </x:c>
      <x:c r="K45" s="15" t="str"/>
      <x:c r="L45" s="15" t="str">
        <x:v>Automated test, reviewed artifact or benchmark demonstrates the defined contract.</x:v>
      </x:c>
      <x:c r="M45" s="15" t="str">
        <x:v>Project/Issue</x:v>
      </x:c>
      <x:c r="N45" s="15" t="str">
        <x:v>Cell can update</x:v>
      </x:c>
      <x:c r="O45" s="15" t="str">
        <x:v>Test + artifact</x:v>
      </x:c>
    </x:row>
    <x:row r="46">
      <x:c r="A46" s="15" t="str">
        <x:v>P3-005</x:v>
      </x:c>
      <x:c r="B46" s="15" t="str">
        <x:v>P3</x:v>
      </x:c>
      <x:c r="C46" s="15" t="str">
        <x:v>CELL Kernel</x:v>
      </x:c>
      <x:c r="D46" s="15" t="str">
        <x:v>Capabilities</x:v>
      </x:c>
      <x:c r="E46" s="15" t="str">
        <x:v>Add operation-level scopes and parameter constraints</x:v>
      </x:c>
      <x:c r="F46" s="15" t="str">
        <x:v>Build</x:v>
      </x:c>
      <x:c r="G46" s="15" t="str">
        <x:v>P0</x:v>
      </x:c>
      <x:c r="H46" s="15" t="str">
        <x:v>Security Engineer</x:v>
      </x:c>
      <x:c r="I46" s="15" t="str">
        <x:v>Not Started</x:v>
      </x:c>
      <x:c r="J46" s="15" t="n">
        <x:v>3</x:v>
      </x:c>
      <x:c r="K46" s="15" t="str"/>
      <x:c r="L46" s="15" t="str">
        <x:v>Automated test, reviewed artifact or benchmark demonstrates the defined contract.</x:v>
      </x:c>
      <x:c r="M46" s="15" t="str">
        <x:v>Project/Issue</x:v>
      </x:c>
      <x:c r="N46" s="15" t="str">
        <x:v>Cell can update</x:v>
      </x:c>
      <x:c r="O46" s="15" t="str">
        <x:v>Test + artifact</x:v>
      </x:c>
    </x:row>
    <x:row r="47">
      <x:c r="A47" s="15" t="str">
        <x:v>P3-006</x:v>
      </x:c>
      <x:c r="B47" s="15" t="str">
        <x:v>P3</x:v>
      </x:c>
      <x:c r="C47" s="15" t="str">
        <x:v>CELL Kernel</x:v>
      </x:c>
      <x:c r="D47" s="15" t="str">
        <x:v>Secrets</x:v>
      </x:c>
      <x:c r="E47" s="15" t="str">
        <x:v>Integrate vault indirection so Operatives never receive broad raw secrets</x:v>
      </x:c>
      <x:c r="F47" s="15" t="str">
        <x:v>Build</x:v>
      </x:c>
      <x:c r="G47" s="15" t="str">
        <x:v>P0</x:v>
      </x:c>
      <x:c r="H47" s="15" t="str">
        <x:v>Security Engineer</x:v>
      </x:c>
      <x:c r="I47" s="15" t="str">
        <x:v>Not Started</x:v>
      </x:c>
      <x:c r="J47" s="15" t="n">
        <x:v>4</x:v>
      </x:c>
      <x:c r="K47" s="15" t="str"/>
      <x:c r="L47" s="15" t="str">
        <x:v>Automated test, reviewed artifact or benchmark demonstrates the defined contract.</x:v>
      </x:c>
      <x:c r="M47" s="15" t="str">
        <x:v>Project/Issue</x:v>
      </x:c>
      <x:c r="N47" s="15" t="str">
        <x:v>Cell can update</x:v>
      </x:c>
      <x:c r="O47" s="15" t="str">
        <x:v>Test + artifact</x:v>
      </x:c>
    </x:row>
    <x:row r="48">
      <x:c r="A48" s="15" t="str">
        <x:v>P3-007</x:v>
      </x:c>
      <x:c r="B48" s="15" t="str">
        <x:v>P3</x:v>
      </x:c>
      <x:c r="C48" s="15" t="str">
        <x:v>CELL Kernel</x:v>
      </x:c>
      <x:c r="D48" s="15" t="str">
        <x:v>Resources</x:v>
      </x:c>
      <x:c r="E48" s="15" t="str">
        <x:v>Implement per-Cell and per-Operative cost accounting</x:v>
      </x:c>
      <x:c r="F48" s="15" t="str">
        <x:v>Build</x:v>
      </x:c>
      <x:c r="G48" s="15" t="str">
        <x:v>P0</x:v>
      </x:c>
      <x:c r="H48" s="15" t="str">
        <x:v>Platform Engineer</x:v>
      </x:c>
      <x:c r="I48" s="15" t="str">
        <x:v>Not Started</x:v>
      </x:c>
      <x:c r="J48" s="15" t="n">
        <x:v>2</x:v>
      </x:c>
      <x:c r="K48" s="15" t="str"/>
      <x:c r="L48" s="15" t="str">
        <x:v>Automated test, reviewed artifact or benchmark demonstrates the defined contract.</x:v>
      </x:c>
      <x:c r="M48" s="15" t="str">
        <x:v>Project/Issue</x:v>
      </x:c>
      <x:c r="N48" s="15" t="str">
        <x:v>Cell can update</x:v>
      </x:c>
      <x:c r="O48" s="15" t="str">
        <x:v>Test + artifact</x:v>
      </x:c>
    </x:row>
    <x:row r="49">
      <x:c r="A49" s="15" t="str">
        <x:v>P3-008</x:v>
      </x:c>
      <x:c r="B49" s="15" t="str">
        <x:v>P3</x:v>
      </x:c>
      <x:c r="C49" s="15" t="str">
        <x:v>CELL Kernel</x:v>
      </x:c>
      <x:c r="D49" s="15" t="str">
        <x:v>Resources</x:v>
      </x:c>
      <x:c r="E49" s="15" t="str">
        <x:v>Implement token/time/tool-call/concurrency envelopes</x:v>
      </x:c>
      <x:c r="F49" s="15" t="str">
        <x:v>Build</x:v>
      </x:c>
      <x:c r="G49" s="15" t="str">
        <x:v>P0</x:v>
      </x:c>
      <x:c r="H49" s="15" t="str">
        <x:v>Platform Engineer</x:v>
      </x:c>
      <x:c r="I49" s="15" t="str">
        <x:v>Not Started</x:v>
      </x:c>
      <x:c r="J49" s="15" t="n">
        <x:v>3</x:v>
      </x:c>
      <x:c r="K49" s="15" t="str"/>
      <x:c r="L49" s="15" t="str">
        <x:v>Automated test, reviewed artifact or benchmark demonstrates the defined contract.</x:v>
      </x:c>
      <x:c r="M49" s="15" t="str">
        <x:v>Project/Issue</x:v>
      </x:c>
      <x:c r="N49" s="15" t="str">
        <x:v>Cell can update</x:v>
      </x:c>
      <x:c r="O49" s="15" t="str">
        <x:v>Test + artifact</x:v>
      </x:c>
    </x:row>
    <x:row r="50">
      <x:c r="A50" s="15" t="str">
        <x:v>P3-009</x:v>
      </x:c>
      <x:c r="B50" s="15" t="str">
        <x:v>P3</x:v>
      </x:c>
      <x:c r="C50" s="15" t="str">
        <x:v>CELL Kernel</x:v>
      </x:c>
      <x:c r="D50" s="15" t="str">
        <x:v>Resources</x:v>
      </x:c>
      <x:c r="E50" s="15" t="str">
        <x:v>Implement quota denial, throttle and extension-request flow</x:v>
      </x:c>
      <x:c r="F50" s="15" t="str">
        <x:v>Build</x:v>
      </x:c>
      <x:c r="G50" s="15" t="str">
        <x:v>P0</x:v>
      </x:c>
      <x:c r="H50" s="15" t="str">
        <x:v>Platform Engineer</x:v>
      </x:c>
      <x:c r="I50" s="15" t="str">
        <x:v>Not Started</x:v>
      </x:c>
      <x:c r="J50" s="15" t="n">
        <x:v>4</x:v>
      </x:c>
      <x:c r="K50" s="15" t="str"/>
      <x:c r="L50" s="15" t="str">
        <x:v>Automated test, reviewed artifact or benchmark demonstrates the defined contract.</x:v>
      </x:c>
      <x:c r="M50" s="15" t="str">
        <x:v>Project/Issue</x:v>
      </x:c>
      <x:c r="N50" s="15" t="str">
        <x:v>Cell can update</x:v>
      </x:c>
      <x:c r="O50" s="15" t="str">
        <x:v>Test + artifact</x:v>
      </x:c>
    </x:row>
    <x:row r="51">
      <x:c r="A51" s="15" t="str">
        <x:v>P3-010</x:v>
      </x:c>
      <x:c r="B51" s="15" t="str">
        <x:v>P3</x:v>
      </x:c>
      <x:c r="C51" s="15" t="str">
        <x:v>CELL Kernel</x:v>
      </x:c>
      <x:c r="D51" s="15" t="str">
        <x:v>Policy</x:v>
      </x:c>
      <x:c r="E51" s="15" t="str">
        <x:v>Implement human authorization gates for privileged side effects</x:v>
      </x:c>
      <x:c r="F51" s="15" t="str">
        <x:v>Build</x:v>
      </x:c>
      <x:c r="G51" s="15" t="str">
        <x:v>P0</x:v>
      </x:c>
      <x:c r="H51" s="15" t="str">
        <x:v>Platform Engineer</x:v>
      </x:c>
      <x:c r="I51" s="15" t="str">
        <x:v>Not Started</x:v>
      </x:c>
      <x:c r="J51" s="15" t="n">
        <x:v>2</x:v>
      </x:c>
      <x:c r="K51" s="15" t="str"/>
      <x:c r="L51" s="15" t="str">
        <x:v>Automated test, reviewed artifact or benchmark demonstrates the defined contract.</x:v>
      </x:c>
      <x:c r="M51" s="15" t="str">
        <x:v>Project/Issue</x:v>
      </x:c>
      <x:c r="N51" s="15" t="str">
        <x:v>Cell can update</x:v>
      </x:c>
      <x:c r="O51" s="15" t="str">
        <x:v>Test + artifact</x:v>
      </x:c>
    </x:row>
    <x:row r="52">
      <x:c r="A52" s="15" t="str">
        <x:v>P3-011</x:v>
      </x:c>
      <x:c r="B52" s="15" t="str">
        <x:v>P3</x:v>
      </x:c>
      <x:c r="C52" s="15" t="str">
        <x:v>CELL Kernel</x:v>
      </x:c>
      <x:c r="D52" s="15" t="str">
        <x:v>Policy</x:v>
      </x:c>
      <x:c r="E52" s="15" t="str">
        <x:v>Implement segregation-of-duty rule support</x:v>
      </x:c>
      <x:c r="F52" s="15" t="str">
        <x:v>Build</x:v>
      </x:c>
      <x:c r="G52" s="15" t="str">
        <x:v>P0</x:v>
      </x:c>
      <x:c r="H52" s="15" t="str">
        <x:v>Security Engineer</x:v>
      </x:c>
      <x:c r="I52" s="15" t="str">
        <x:v>Not Started</x:v>
      </x:c>
      <x:c r="J52" s="15" t="n">
        <x:v>3</x:v>
      </x:c>
      <x:c r="K52" s="15" t="str"/>
      <x:c r="L52" s="15" t="str">
        <x:v>Automated test, reviewed artifact or benchmark demonstrates the defined contract.</x:v>
      </x:c>
      <x:c r="M52" s="15" t="str">
        <x:v>Project/Issue</x:v>
      </x:c>
      <x:c r="N52" s="15" t="str">
        <x:v>Cell can update</x:v>
      </x:c>
      <x:c r="O52" s="15" t="str">
        <x:v>Test + artifact</x:v>
      </x:c>
    </x:row>
    <x:row r="53">
      <x:c r="A53" s="15" t="str">
        <x:v>P3-012</x:v>
      </x:c>
      <x:c r="B53" s="15" t="str">
        <x:v>P3</x:v>
      </x:c>
      <x:c r="C53" s="15" t="str">
        <x:v>CELL Kernel</x:v>
      </x:c>
      <x:c r="D53" s="15" t="str">
        <x:v>Isolation</x:v>
      </x:c>
      <x:c r="E53" s="15" t="str">
        <x:v>Implement mission/project/client namespaces</x:v>
      </x:c>
      <x:c r="F53" s="15" t="str">
        <x:v>Build</x:v>
      </x:c>
      <x:c r="G53" s="15" t="str">
        <x:v>P0</x:v>
      </x:c>
      <x:c r="H53" s="15" t="str">
        <x:v>Security Engineer</x:v>
      </x:c>
      <x:c r="I53" s="15" t="str">
        <x:v>Not Started</x:v>
      </x:c>
      <x:c r="J53" s="15" t="n">
        <x:v>4</x:v>
      </x:c>
      <x:c r="K53" s="15" t="str"/>
      <x:c r="L53" s="15" t="str">
        <x:v>Automated test, reviewed artifact or benchmark demonstrates the defined contract.</x:v>
      </x:c>
      <x:c r="M53" s="15" t="str">
        <x:v>Project/Issue</x:v>
      </x:c>
      <x:c r="N53" s="15" t="str">
        <x:v>Cell can update</x:v>
      </x:c>
      <x:c r="O53" s="15" t="str">
        <x:v>Test + artifact</x:v>
      </x:c>
    </x:row>
    <x:row r="54">
      <x:c r="A54" s="15" t="str">
        <x:v>P3-013</x:v>
      </x:c>
      <x:c r="B54" s="15" t="str">
        <x:v>P3</x:v>
      </x:c>
      <x:c r="C54" s="15" t="str">
        <x:v>CELL Kernel</x:v>
      </x:c>
      <x:c r="D54" s="15" t="str">
        <x:v>Isolation</x:v>
      </x:c>
      <x:c r="E54" s="15" t="str">
        <x:v>Add sandbox boundary for code/browser/tool execution</x:v>
      </x:c>
      <x:c r="F54" s="15" t="str">
        <x:v>Build</x:v>
      </x:c>
      <x:c r="G54" s="15" t="str">
        <x:v>P0</x:v>
      </x:c>
      <x:c r="H54" s="15" t="str">
        <x:v>Security Engineer</x:v>
      </x:c>
      <x:c r="I54" s="15" t="str">
        <x:v>Not Started</x:v>
      </x:c>
      <x:c r="J54" s="15" t="n">
        <x:v>2</x:v>
      </x:c>
      <x:c r="K54" s="15" t="str"/>
      <x:c r="L54" s="15" t="str">
        <x:v>Automated test, reviewed artifact or benchmark demonstrates the defined contract.</x:v>
      </x:c>
      <x:c r="M54" s="15" t="str">
        <x:v>Project/Issue</x:v>
      </x:c>
      <x:c r="N54" s="15" t="str">
        <x:v>Cell can update</x:v>
      </x:c>
      <x:c r="O54" s="15" t="str">
        <x:v>Test + artifact</x:v>
      </x:c>
    </x:row>
    <x:row r="55">
      <x:c r="A55" s="15" t="str">
        <x:v>P3-014</x:v>
      </x:c>
      <x:c r="B55" s="15" t="str">
        <x:v>P3</x:v>
      </x:c>
      <x:c r="C55" s="15" t="str">
        <x:v>CELL Kernel</x:v>
      </x:c>
      <x:c r="D55" s="15" t="str">
        <x:v>Audit</x:v>
      </x:c>
      <x:c r="E55" s="15" t="str">
        <x:v>Persist capability call request/decision/result audit events</x:v>
      </x:c>
      <x:c r="F55" s="15" t="str">
        <x:v>Build</x:v>
      </x:c>
      <x:c r="G55" s="15" t="str">
        <x:v>P0</x:v>
      </x:c>
      <x:c r="H55" s="15" t="str">
        <x:v>Platform Engineer</x:v>
      </x:c>
      <x:c r="I55" s="15" t="str">
        <x:v>Not Started</x:v>
      </x:c>
      <x:c r="J55" s="15" t="n">
        <x:v>3</x:v>
      </x:c>
      <x:c r="K55" s="15" t="str"/>
      <x:c r="L55" s="15" t="str">
        <x:v>Automated test, reviewed artifact or benchmark demonstrates the defined contract.</x:v>
      </x:c>
      <x:c r="M55" s="15" t="str">
        <x:v>Project/Issue</x:v>
      </x:c>
      <x:c r="N55" s="15" t="str">
        <x:v>Cell can update</x:v>
      </x:c>
      <x:c r="O55" s="15" t="str">
        <x:v>Test + artifact</x:v>
      </x:c>
    </x:row>
    <x:row r="56">
      <x:c r="A56" s="15" t="str">
        <x:v>P3-015</x:v>
      </x:c>
      <x:c r="B56" s="15" t="str">
        <x:v>P3</x:v>
      </x:c>
      <x:c r="C56" s="15" t="str">
        <x:v>CELL Kernel</x:v>
      </x:c>
      <x:c r="D56" s="15" t="str">
        <x:v>Recovery</x:v>
      </x:c>
      <x:c r="E56" s="15" t="str">
        <x:v>Implement kill, suspend, resume and quarantine controls</x:v>
      </x:c>
      <x:c r="F56" s="15" t="str">
        <x:v>Build</x:v>
      </x:c>
      <x:c r="G56" s="15" t="str">
        <x:v>P0</x:v>
      </x:c>
      <x:c r="H56" s="15" t="str">
        <x:v>SRE</x:v>
      </x:c>
      <x:c r="I56" s="15" t="str">
        <x:v>Not Started</x:v>
      </x:c>
      <x:c r="J56" s="15" t="n">
        <x:v>4</x:v>
      </x:c>
      <x:c r="K56" s="15" t="str"/>
      <x:c r="L56" s="15" t="str">
        <x:v>Automated test, reviewed artifact or benchmark demonstrates the defined contract.</x:v>
      </x:c>
      <x:c r="M56" s="15" t="str">
        <x:v>Project/Issue</x:v>
      </x:c>
      <x:c r="N56" s="15" t="str">
        <x:v>Cell can update</x:v>
      </x:c>
      <x:c r="O56" s="15" t="str">
        <x:v>Test + artifact</x:v>
      </x:c>
    </x:row>
    <x:row r="57">
      <x:c r="A57" s="15" t="str">
        <x:v>P3-016</x:v>
      </x:c>
      <x:c r="B57" s="15" t="str">
        <x:v>P3</x:v>
      </x:c>
      <x:c r="C57" s="15" t="str">
        <x:v>CELL Kernel</x:v>
      </x:c>
      <x:c r="D57" s="15" t="str">
        <x:v>QA</x:v>
      </x:c>
      <x:c r="E57" s="15" t="str">
        <x:v>Adversarial test unauthorized capability and cross-namespace access</x:v>
      </x:c>
      <x:c r="F57" s="15" t="str">
        <x:v>Build</x:v>
      </x:c>
      <x:c r="G57" s="15" t="str">
        <x:v>P0</x:v>
      </x:c>
      <x:c r="H57" s="15" t="str">
        <x:v>Security QA</x:v>
      </x:c>
      <x:c r="I57" s="15" t="str">
        <x:v>Not Started</x:v>
      </x:c>
      <x:c r="J57" s="15" t="n">
        <x:v>2</x:v>
      </x:c>
      <x:c r="K57" s="15" t="str"/>
      <x:c r="L57" s="15" t="str">
        <x:v>Automated test, reviewed artifact or benchmark demonstrates the defined contract.</x:v>
      </x:c>
      <x:c r="M57" s="15" t="str">
        <x:v>Project/Issue</x:v>
      </x:c>
      <x:c r="N57" s="15" t="str">
        <x:v>Cell can update</x:v>
      </x:c>
      <x:c r="O57" s="15" t="str">
        <x:v>Test + artifact</x:v>
      </x:c>
    </x:row>
    <x:row r="58">
      <x:c r="A58" s="15" t="str">
        <x:v>P4-001</x:v>
      </x:c>
      <x:c r="B58" s="15" t="str">
        <x:v>P4</x:v>
      </x:c>
      <x:c r="C58" s="15" t="str">
        <x:v>Operator UX</x:v>
      </x:c>
      <x:c r="D58" s="15" t="str">
        <x:v>IA</x:v>
      </x:c>
      <x:c r="E58" s="15" t="str">
        <x:v>Design Mission Control information architecture around decisions, blockers and evidence</x:v>
      </x:c>
      <x:c r="F58" s="15" t="str">
        <x:v>Build</x:v>
      </x:c>
      <x:c r="G58" s="15" t="str">
        <x:v>P0</x:v>
      </x:c>
      <x:c r="H58" s="15" t="str">
        <x:v>Product Designer</x:v>
      </x:c>
      <x:c r="I58" s="15" t="str">
        <x:v>Not Started</x:v>
      </x:c>
      <x:c r="J58" s="15" t="n">
        <x:v>2</x:v>
      </x:c>
      <x:c r="K58" s="15" t="str"/>
      <x:c r="L58" s="15" t="str">
        <x:v>Automated test, reviewed artifact or benchmark demonstrates the defined contract.</x:v>
      </x:c>
      <x:c r="M58" s="15" t="str">
        <x:v>Project/Issue</x:v>
      </x:c>
      <x:c r="N58" s="15" t="str">
        <x:v>Cell can update</x:v>
      </x:c>
      <x:c r="O58" s="15" t="str">
        <x:v>Test + artifact</x:v>
      </x:c>
    </x:row>
    <x:row r="59">
      <x:c r="A59" s="15" t="str">
        <x:v>P4-002</x:v>
      </x:c>
      <x:c r="B59" s="15" t="str">
        <x:v>P4</x:v>
      </x:c>
      <x:c r="C59" s="15" t="str">
        <x:v>Operator UX</x:v>
      </x:c>
      <x:c r="D59" s="15" t="str">
        <x:v>Home</x:v>
      </x:c>
      <x:c r="E59" s="15" t="str">
        <x:v>Build Organization Home / system brief</x:v>
      </x:c>
      <x:c r="F59" s="15" t="str">
        <x:v>Build</x:v>
      </x:c>
      <x:c r="G59" s="15" t="str">
        <x:v>P0</x:v>
      </x:c>
      <x:c r="H59" s="15" t="str">
        <x:v>Frontend Engineer</x:v>
      </x:c>
      <x:c r="I59" s="15" t="str">
        <x:v>Not Started</x:v>
      </x:c>
      <x:c r="J59" s="15" t="n">
        <x:v>3</x:v>
      </x:c>
      <x:c r="K59" s="15" t="str"/>
      <x:c r="L59" s="15" t="str">
        <x:v>Automated test, reviewed artifact or benchmark demonstrates the defined contract.</x:v>
      </x:c>
      <x:c r="M59" s="15" t="str">
        <x:v>Project/Issue</x:v>
      </x:c>
      <x:c r="N59" s="15" t="str">
        <x:v>Cell can update</x:v>
      </x:c>
      <x:c r="O59" s="15" t="str">
        <x:v>Test + artifact</x:v>
      </x:c>
    </x:row>
    <x:row r="60">
      <x:c r="A60" s="15" t="str">
        <x:v>P4-003</x:v>
      </x:c>
      <x:c r="B60" s="15" t="str">
        <x:v>P4</x:v>
      </x:c>
      <x:c r="C60" s="15" t="str">
        <x:v>Operator UX</x:v>
      </x:c>
      <x:c r="D60" s="15" t="str">
        <x:v>Mission Builder</x:v>
      </x:c>
      <x:c r="E60" s="15" t="str">
        <x:v>Build Mission Contract creation/edit/validation flow</x:v>
      </x:c>
      <x:c r="F60" s="15" t="str">
        <x:v>Build</x:v>
      </x:c>
      <x:c r="G60" s="15" t="str">
        <x:v>P0</x:v>
      </x:c>
      <x:c r="H60" s="15" t="str">
        <x:v>Frontend Engineer</x:v>
      </x:c>
      <x:c r="I60" s="15" t="str">
        <x:v>Not Started</x:v>
      </x:c>
      <x:c r="J60" s="15" t="n">
        <x:v>4</x:v>
      </x:c>
      <x:c r="K60" s="15" t="str"/>
      <x:c r="L60" s="15" t="str">
        <x:v>Automated test, reviewed artifact or benchmark demonstrates the defined contract.</x:v>
      </x:c>
      <x:c r="M60" s="15" t="str">
        <x:v>Project/Issue</x:v>
      </x:c>
      <x:c r="N60" s="15" t="str">
        <x:v>Cell can update</x:v>
      </x:c>
      <x:c r="O60" s="15" t="str">
        <x:v>Test + artifact</x:v>
      </x:c>
    </x:row>
    <x:row r="61">
      <x:c r="A61" s="15" t="str">
        <x:v>P4-004</x:v>
      </x:c>
      <x:c r="B61" s="15" t="str">
        <x:v>P4</x:v>
      </x:c>
      <x:c r="C61" s="15" t="str">
        <x:v>Operator UX</x:v>
      </x:c>
      <x:c r="D61" s="15" t="str">
        <x:v>Briefing Room</x:v>
      </x:c>
      <x:c r="E61" s="15" t="str">
        <x:v>Build unknowns/questions/evidence/decision workspace</x:v>
      </x:c>
      <x:c r="F61" s="15" t="str">
        <x:v>Build</x:v>
      </x:c>
      <x:c r="G61" s="15" t="str">
        <x:v>P0</x:v>
      </x:c>
      <x:c r="H61" s="15" t="str">
        <x:v>Frontend Engineer</x:v>
      </x:c>
      <x:c r="I61" s="15" t="str">
        <x:v>Not Started</x:v>
      </x:c>
      <x:c r="J61" s="15" t="n">
        <x:v>2</x:v>
      </x:c>
      <x:c r="K61" s="15" t="str"/>
      <x:c r="L61" s="15" t="str">
        <x:v>Automated test, reviewed artifact or benchmark demonstrates the defined contract.</x:v>
      </x:c>
      <x:c r="M61" s="15" t="str">
        <x:v>Project/Issue</x:v>
      </x:c>
      <x:c r="N61" s="15" t="str">
        <x:v>Cell can update</x:v>
      </x:c>
      <x:c r="O61" s="15" t="str">
        <x:v>Test + artifact</x:v>
      </x:c>
    </x:row>
    <x:row r="62">
      <x:c r="A62" s="15" t="str">
        <x:v>P4-005</x:v>
      </x:c>
      <x:c r="B62" s="15" t="str">
        <x:v>P4</x:v>
      </x:c>
      <x:c r="C62" s="15" t="str">
        <x:v>Operator UX</x:v>
      </x:c>
      <x:c r="D62" s="15" t="str">
        <x:v>Mission Board</x:v>
      </x:c>
      <x:c r="E62" s="15" t="str">
        <x:v>Build board/list/timeline projections over WorkGraph</x:v>
      </x:c>
      <x:c r="F62" s="15" t="str">
        <x:v>Build</x:v>
      </x:c>
      <x:c r="G62" s="15" t="str">
        <x:v>P0</x:v>
      </x:c>
      <x:c r="H62" s="15" t="str">
        <x:v>Frontend Engineer</x:v>
      </x:c>
      <x:c r="I62" s="15" t="str">
        <x:v>Not Started</x:v>
      </x:c>
      <x:c r="J62" s="15" t="n">
        <x:v>3</x:v>
      </x:c>
      <x:c r="K62" s="15" t="str"/>
      <x:c r="L62" s="15" t="str">
        <x:v>Automated test, reviewed artifact or benchmark demonstrates the defined contract.</x:v>
      </x:c>
      <x:c r="M62" s="15" t="str">
        <x:v>Project/Issue</x:v>
      </x:c>
      <x:c r="N62" s="15" t="str">
        <x:v>Cell can update</x:v>
      </x:c>
      <x:c r="O62" s="15" t="str">
        <x:v>Test + artifact</x:v>
      </x:c>
    </x:row>
    <x:row r="63">
      <x:c r="A63" s="15" t="str">
        <x:v>P4-006</x:v>
      </x:c>
      <x:c r="B63" s="15" t="str">
        <x:v>P4</x:v>
      </x:c>
      <x:c r="C63" s="15" t="str">
        <x:v>Operator UX</x:v>
      </x:c>
      <x:c r="D63" s="15" t="str">
        <x:v>Mission Board</x:v>
      </x:c>
      <x:c r="E63" s="15" t="str">
        <x:v>Build dependency/blocked/critical-path view</x:v>
      </x:c>
      <x:c r="F63" s="15" t="str">
        <x:v>Build</x:v>
      </x:c>
      <x:c r="G63" s="15" t="str">
        <x:v>P0</x:v>
      </x:c>
      <x:c r="H63" s="15" t="str">
        <x:v>Frontend Engineer</x:v>
      </x:c>
      <x:c r="I63" s="15" t="str">
        <x:v>Not Started</x:v>
      </x:c>
      <x:c r="J63" s="15" t="n">
        <x:v>4</x:v>
      </x:c>
      <x:c r="K63" s="15" t="str"/>
      <x:c r="L63" s="15" t="str">
        <x:v>Automated test, reviewed artifact or benchmark demonstrates the defined contract.</x:v>
      </x:c>
      <x:c r="M63" s="15" t="str">
        <x:v>Project/Issue</x:v>
      </x:c>
      <x:c r="N63" s="15" t="str">
        <x:v>Cell can update</x:v>
      </x:c>
      <x:c r="O63" s="15" t="str">
        <x:v>Test + artifact</x:v>
      </x:c>
    </x:row>
    <x:row r="64">
      <x:c r="A64" s="15" t="str">
        <x:v>P4-007</x:v>
      </x:c>
      <x:c r="B64" s="15" t="str">
        <x:v>P4</x:v>
      </x:c>
      <x:c r="C64" s="15" t="str">
        <x:v>Operator UX</x:v>
      </x:c>
      <x:c r="D64" s="15" t="str">
        <x:v>Mission Board</x:v>
      </x:c>
      <x:c r="E64" s="15" t="str">
        <x:v>Build Cell/Operative assignment and claim UI</x:v>
      </x:c>
      <x:c r="F64" s="15" t="str">
        <x:v>Build</x:v>
      </x:c>
      <x:c r="G64" s="15" t="str">
        <x:v>P0</x:v>
      </x:c>
      <x:c r="H64" s="15" t="str">
        <x:v>Frontend Engineer</x:v>
      </x:c>
      <x:c r="I64" s="15" t="str">
        <x:v>Not Started</x:v>
      </x:c>
      <x:c r="J64" s="15" t="n">
        <x:v>2</x:v>
      </x:c>
      <x:c r="K64" s="15" t="str"/>
      <x:c r="L64" s="15" t="str">
        <x:v>Automated test, reviewed artifact or benchmark demonstrates the defined contract.</x:v>
      </x:c>
      <x:c r="M64" s="15" t="str">
        <x:v>Project/Issue</x:v>
      </x:c>
      <x:c r="N64" s="15" t="str">
        <x:v>Cell can update</x:v>
      </x:c>
      <x:c r="O64" s="15" t="str">
        <x:v>Test + artifact</x:v>
      </x:c>
    </x:row>
    <x:row r="65">
      <x:c r="A65" s="15" t="str">
        <x:v>P4-008</x:v>
      </x:c>
      <x:c r="B65" s="15" t="str">
        <x:v>P4</x:v>
      </x:c>
      <x:c r="C65" s="15" t="str">
        <x:v>Operator UX</x:v>
      </x:c>
      <x:c r="D65" s="15" t="str">
        <x:v>Mission Board</x:v>
      </x:c>
      <x:c r="E65" s="15" t="str">
        <x:v>Build evidence requirement and completion inspector</x:v>
      </x:c>
      <x:c r="F65" s="15" t="str">
        <x:v>Build</x:v>
      </x:c>
      <x:c r="G65" s="15" t="str">
        <x:v>P0</x:v>
      </x:c>
      <x:c r="H65" s="15" t="str">
        <x:v>Frontend Engineer</x:v>
      </x:c>
      <x:c r="I65" s="15" t="str">
        <x:v>Not Started</x:v>
      </x:c>
      <x:c r="J65" s="15" t="n">
        <x:v>3</x:v>
      </x:c>
      <x:c r="K65" s="15" t="str"/>
      <x:c r="L65" s="15" t="str">
        <x:v>Automated test, reviewed artifact or benchmark demonstrates the defined contract.</x:v>
      </x:c>
      <x:c r="M65" s="15" t="str">
        <x:v>Project/Issue</x:v>
      </x:c>
      <x:c r="N65" s="15" t="str">
        <x:v>Cell can update</x:v>
      </x:c>
      <x:c r="O65" s="15" t="str">
        <x:v>Test + artifact</x:v>
      </x:c>
    </x:row>
    <x:row r="66">
      <x:c r="A66" s="15" t="str">
        <x:v>P4-009</x:v>
      </x:c>
      <x:c r="B66" s="15" t="str">
        <x:v>P4</x:v>
      </x:c>
      <x:c r="C66" s="15" t="str">
        <x:v>Operator UX</x:v>
      </x:c>
      <x:c r="D66" s="15" t="str">
        <x:v>Mission Board</x:v>
      </x:c>
      <x:c r="E66" s="15" t="str">
        <x:v>Build agent-created ticket review/audit UI</x:v>
      </x:c>
      <x:c r="F66" s="15" t="str">
        <x:v>Build</x:v>
      </x:c>
      <x:c r="G66" s="15" t="str">
        <x:v>P0</x:v>
      </x:c>
      <x:c r="H66" s="15" t="str">
        <x:v>Frontend Engineer</x:v>
      </x:c>
      <x:c r="I66" s="15" t="str">
        <x:v>Not Started</x:v>
      </x:c>
      <x:c r="J66" s="15" t="n">
        <x:v>4</x:v>
      </x:c>
      <x:c r="K66" s="15" t="str"/>
      <x:c r="L66" s="15" t="str">
        <x:v>Automated test, reviewed artifact or benchmark demonstrates the defined contract.</x:v>
      </x:c>
      <x:c r="M66" s="15" t="str">
        <x:v>Project/Issue</x:v>
      </x:c>
      <x:c r="N66" s="15" t="str">
        <x:v>Cell can update</x:v>
      </x:c>
      <x:c r="O66" s="15" t="str">
        <x:v>Test + artifact</x:v>
      </x:c>
    </x:row>
    <x:row r="67">
      <x:c r="A67" s="15" t="str">
        <x:v>P4-010</x:v>
      </x:c>
      <x:c r="B67" s="15" t="str">
        <x:v>P4</x:v>
      </x:c>
      <x:c r="C67" s="15" t="str">
        <x:v>Operator UX</x:v>
      </x:c>
      <x:c r="D67" s="15" t="str">
        <x:v>Mission Control</x:v>
      </x:c>
      <x:c r="E67" s="15" t="str">
        <x:v>Build live Cell topology and process inspector</x:v>
      </x:c>
      <x:c r="F67" s="15" t="str">
        <x:v>Build</x:v>
      </x:c>
      <x:c r="G67" s="15" t="str">
        <x:v>P0</x:v>
      </x:c>
      <x:c r="H67" s="15" t="str">
        <x:v>Frontend Engineer</x:v>
      </x:c>
      <x:c r="I67" s="15" t="str">
        <x:v>Not Started</x:v>
      </x:c>
      <x:c r="J67" s="15" t="n">
        <x:v>2</x:v>
      </x:c>
      <x:c r="K67" s="15" t="str"/>
      <x:c r="L67" s="15" t="str">
        <x:v>Automated test, reviewed artifact or benchmark demonstrates the defined contract.</x:v>
      </x:c>
      <x:c r="M67" s="15" t="str">
        <x:v>Project/Issue</x:v>
      </x:c>
      <x:c r="N67" s="15" t="str">
        <x:v>Cell can update</x:v>
      </x:c>
      <x:c r="O67" s="15" t="str">
        <x:v>Test + artifact</x:v>
      </x:c>
    </x:row>
    <x:row r="68">
      <x:c r="A68" s="15" t="str">
        <x:v>P4-011</x:v>
      </x:c>
      <x:c r="B68" s="15" t="str">
        <x:v>P4</x:v>
      </x:c>
      <x:c r="C68" s="15" t="str">
        <x:v>Operator UX</x:v>
      </x:c>
      <x:c r="D68" s="15" t="str">
        <x:v>Mission Control</x:v>
      </x:c>
      <x:c r="E68" s="15" t="str">
        <x:v>Build human approval queue and decision panel</x:v>
      </x:c>
      <x:c r="F68" s="15" t="str">
        <x:v>Build</x:v>
      </x:c>
      <x:c r="G68" s="15" t="str">
        <x:v>P0</x:v>
      </x:c>
      <x:c r="H68" s="15" t="str">
        <x:v>Frontend Engineer</x:v>
      </x:c>
      <x:c r="I68" s="15" t="str">
        <x:v>Not Started</x:v>
      </x:c>
      <x:c r="J68" s="15" t="n">
        <x:v>3</x:v>
      </x:c>
      <x:c r="K68" s="15" t="str"/>
      <x:c r="L68" s="15" t="str">
        <x:v>Automated test, reviewed artifact or benchmark demonstrates the defined contract.</x:v>
      </x:c>
      <x:c r="M68" s="15" t="str">
        <x:v>Project/Issue</x:v>
      </x:c>
      <x:c r="N68" s="15" t="str">
        <x:v>Cell can update</x:v>
      </x:c>
      <x:c r="O68" s="15" t="str">
        <x:v>Test + artifact</x:v>
      </x:c>
    </x:row>
    <x:row r="69">
      <x:c r="A69" s="15" t="str">
        <x:v>P4-012</x:v>
      </x:c>
      <x:c r="B69" s="15" t="str">
        <x:v>P4</x:v>
      </x:c>
      <x:c r="C69" s="15" t="str">
        <x:v>Operator UX</x:v>
      </x:c>
      <x:c r="D69" s="15" t="str">
        <x:v>Mission Control</x:v>
      </x:c>
      <x:c r="E69" s="15" t="str">
        <x:v>Build capability-call and policy decision inspector</x:v>
      </x:c>
      <x:c r="F69" s="15" t="str">
        <x:v>Build</x:v>
      </x:c>
      <x:c r="G69" s="15" t="str">
        <x:v>P0</x:v>
      </x:c>
      <x:c r="H69" s="15" t="str">
        <x:v>Frontend Engineer</x:v>
      </x:c>
      <x:c r="I69" s="15" t="str">
        <x:v>Not Started</x:v>
      </x:c>
      <x:c r="J69" s="15" t="n">
        <x:v>4</x:v>
      </x:c>
      <x:c r="K69" s="15" t="str"/>
      <x:c r="L69" s="15" t="str">
        <x:v>Automated test, reviewed artifact or benchmark demonstrates the defined contract.</x:v>
      </x:c>
      <x:c r="M69" s="15" t="str">
        <x:v>Project/Issue</x:v>
      </x:c>
      <x:c r="N69" s="15" t="str">
        <x:v>Cell can update</x:v>
      </x:c>
      <x:c r="O69" s="15" t="str">
        <x:v>Test + artifact</x:v>
      </x:c>
    </x:row>
    <x:row r="70">
      <x:c r="A70" s="15" t="str">
        <x:v>P4-013</x:v>
      </x:c>
      <x:c r="B70" s="15" t="str">
        <x:v>P4</x:v>
      </x:c>
      <x:c r="C70" s="15" t="str">
        <x:v>Operator UX</x:v>
      </x:c>
      <x:c r="D70" s="15" t="str">
        <x:v>Mission Control</x:v>
      </x:c>
      <x:c r="E70" s="15" t="str">
        <x:v>Build cost/resource pressure views</x:v>
      </x:c>
      <x:c r="F70" s="15" t="str">
        <x:v>Build</x:v>
      </x:c>
      <x:c r="G70" s="15" t="str">
        <x:v>P0</x:v>
      </x:c>
      <x:c r="H70" s="15" t="str">
        <x:v>Frontend Engineer</x:v>
      </x:c>
      <x:c r="I70" s="15" t="str">
        <x:v>Not Started</x:v>
      </x:c>
      <x:c r="J70" s="15" t="n">
        <x:v>2</x:v>
      </x:c>
      <x:c r="K70" s="15" t="str"/>
      <x:c r="L70" s="15" t="str">
        <x:v>Automated test, reviewed artifact or benchmark demonstrates the defined contract.</x:v>
      </x:c>
      <x:c r="M70" s="15" t="str">
        <x:v>Project/Issue</x:v>
      </x:c>
      <x:c r="N70" s="15" t="str">
        <x:v>Cell can update</x:v>
      </x:c>
      <x:c r="O70" s="15" t="str">
        <x:v>Test + artifact</x:v>
      </x:c>
    </x:row>
    <x:row r="71">
      <x:c r="A71" s="15" t="str">
        <x:v>P4-014</x:v>
      </x:c>
      <x:c r="B71" s="15" t="str">
        <x:v>P4</x:v>
      </x:c>
      <x:c r="C71" s="15" t="str">
        <x:v>Operator UX</x:v>
      </x:c>
      <x:c r="D71" s="15" t="str">
        <x:v>Mission Control</x:v>
      </x:c>
      <x:c r="E71" s="15" t="str">
        <x:v>Build event timeline / activity stream</x:v>
      </x:c>
      <x:c r="F71" s="15" t="str">
        <x:v>Build</x:v>
      </x:c>
      <x:c r="G71" s="15" t="str">
        <x:v>P0</x:v>
      </x:c>
      <x:c r="H71" s="15" t="str">
        <x:v>Frontend Engineer</x:v>
      </x:c>
      <x:c r="I71" s="15" t="str">
        <x:v>Not Started</x:v>
      </x:c>
      <x:c r="J71" s="15" t="n">
        <x:v>3</x:v>
      </x:c>
      <x:c r="K71" s="15" t="str"/>
      <x:c r="L71" s="15" t="str">
        <x:v>Automated test, reviewed artifact or benchmark demonstrates the defined contract.</x:v>
      </x:c>
      <x:c r="M71" s="15" t="str">
        <x:v>Project/Issue</x:v>
      </x:c>
      <x:c r="N71" s="15" t="str">
        <x:v>Cell can update</x:v>
      </x:c>
      <x:c r="O71" s="15" t="str">
        <x:v>Test + artifact</x:v>
      </x:c>
    </x:row>
    <x:row r="72">
      <x:c r="A72" s="15" t="str">
        <x:v>P4-015</x:v>
      </x:c>
      <x:c r="B72" s="15" t="str">
        <x:v>P4</x:v>
      </x:c>
      <x:c r="C72" s="15" t="str">
        <x:v>Operator UX</x:v>
      </x:c>
      <x:c r="D72" s="15" t="str">
        <x:v>Cell Studio</x:v>
      </x:c>
      <x:c r="E72" s="15" t="str">
        <x:v>Build Cell Image / genome inspector and diff</x:v>
      </x:c>
      <x:c r="F72" s="15" t="str">
        <x:v>Build</x:v>
      </x:c>
      <x:c r="G72" s="15" t="str">
        <x:v>P0</x:v>
      </x:c>
      <x:c r="H72" s="15" t="str">
        <x:v>Frontend Engineer</x:v>
      </x:c>
      <x:c r="I72" s="15" t="str">
        <x:v>Not Started</x:v>
      </x:c>
      <x:c r="J72" s="15" t="n">
        <x:v>4</x:v>
      </x:c>
      <x:c r="K72" s="15" t="str"/>
      <x:c r="L72" s="15" t="str">
        <x:v>Automated test, reviewed artifact or benchmark demonstrates the defined contract.</x:v>
      </x:c>
      <x:c r="M72" s="15" t="str">
        <x:v>Project/Issue</x:v>
      </x:c>
      <x:c r="N72" s="15" t="str">
        <x:v>Cell can update</x:v>
      </x:c>
      <x:c r="O72" s="15" t="str">
        <x:v>Test + artifact</x:v>
      </x:c>
    </x:row>
    <x:row r="73">
      <x:c r="A73" s="15" t="str">
        <x:v>P4-016</x:v>
      </x:c>
      <x:c r="B73" s="15" t="str">
        <x:v>P4</x:v>
      </x:c>
      <x:c r="C73" s="15" t="str">
        <x:v>Operator UX</x:v>
      </x:c>
      <x:c r="D73" s="15" t="str">
        <x:v>Accessibility</x:v>
      </x:c>
      <x:c r="E73" s="15" t="str">
        <x:v>Keyboard-first, reduced-motion and screen-reader pass</x:v>
      </x:c>
      <x:c r="F73" s="15" t="str">
        <x:v>Build</x:v>
      </x:c>
      <x:c r="G73" s="15" t="str">
        <x:v>P1</x:v>
      </x:c>
      <x:c r="H73" s="15" t="str">
        <x:v>Accessibility Engineer</x:v>
      </x:c>
      <x:c r="I73" s="15" t="str">
        <x:v>Not Started</x:v>
      </x:c>
      <x:c r="J73" s="15" t="n">
        <x:v>2</x:v>
      </x:c>
      <x:c r="K73" s="15" t="str"/>
      <x:c r="L73" s="15" t="str">
        <x:v>Automated test, reviewed artifact or benchmark demonstrates the defined contract.</x:v>
      </x:c>
      <x:c r="M73" s="15" t="str">
        <x:v>Project/Issue</x:v>
      </x:c>
      <x:c r="N73" s="15" t="str">
        <x:v>Cell can update</x:v>
      </x:c>
      <x:c r="O73" s="15" t="str">
        <x:v>Test + artifact</x:v>
      </x:c>
    </x:row>
    <x:row r="74">
      <x:c r="A74" s="15" t="str">
        <x:v>P4-017</x:v>
      </x:c>
      <x:c r="B74" s="15" t="str">
        <x:v>P4</x:v>
      </x:c>
      <x:c r="C74" s="15" t="str">
        <x:v>Operator UX</x:v>
      </x:c>
      <x:c r="D74" s="15" t="str">
        <x:v>UX QA</x:v>
      </x:c>
      <x:c r="E74" s="15" t="str">
        <x:v>Run operator usability tasks: create/inspect/stop/reproduce</x:v>
      </x:c>
      <x:c r="F74" s="15" t="str">
        <x:v>Build</x:v>
      </x:c>
      <x:c r="G74" s="15" t="str">
        <x:v>P1</x:v>
      </x:c>
      <x:c r="H74" s="15" t="str">
        <x:v>UX Researcher</x:v>
      </x:c>
      <x:c r="I74" s="15" t="str">
        <x:v>Not Started</x:v>
      </x:c>
      <x:c r="J74" s="15" t="n">
        <x:v>3</x:v>
      </x:c>
      <x:c r="K74" s="15" t="str"/>
      <x:c r="L74" s="15" t="str">
        <x:v>Automated test, reviewed artifact or benchmark demonstrates the defined contract.</x:v>
      </x:c>
      <x:c r="M74" s="15" t="str">
        <x:v>Project/Issue</x:v>
      </x:c>
      <x:c r="N74" s="15" t="str">
        <x:v>Cell can update</x:v>
      </x:c>
      <x:c r="O74" s="15" t="str">
        <x:v>Test + artifact</x:v>
      </x:c>
    </x:row>
    <x:row r="75">
      <x:c r="A75" s="15" t="str">
        <x:v>P5-001</x:v>
      </x:c>
      <x:c r="B75" s="15" t="str">
        <x:v>P5</x:v>
      </x:c>
      <x:c r="C75" s="15" t="str">
        <x:v>Assurance</x:v>
      </x:c>
      <x:c r="D75" s="15" t="str">
        <x:v>Evidence</x:v>
      </x:c>
      <x:c r="E75" s="15" t="str">
        <x:v>Implement append-only Evidence Ledger</x:v>
      </x:c>
      <x:c r="F75" s="15" t="str">
        <x:v>Build</x:v>
      </x:c>
      <x:c r="G75" s="15" t="str">
        <x:v>P0</x:v>
      </x:c>
      <x:c r="H75" s="15" t="str">
        <x:v>Platform Engineer</x:v>
      </x:c>
      <x:c r="I75" s="15" t="str">
        <x:v>Not Started</x:v>
      </x:c>
      <x:c r="J75" s="15" t="n">
        <x:v>2</x:v>
      </x:c>
      <x:c r="K75" s="15" t="str"/>
      <x:c r="L75" s="15" t="str">
        <x:v>Automated test, reviewed artifact or benchmark demonstrates the defined contract.</x:v>
      </x:c>
      <x:c r="M75" s="15" t="str">
        <x:v>Project/Issue</x:v>
      </x:c>
      <x:c r="N75" s="15" t="str">
        <x:v>Cell can update</x:v>
      </x:c>
      <x:c r="O75" s="15" t="str">
        <x:v>Test + artifact</x:v>
      </x:c>
    </x:row>
    <x:row r="76">
      <x:c r="A76" s="15" t="str">
        <x:v>P5-002</x:v>
      </x:c>
      <x:c r="B76" s="15" t="str">
        <x:v>P5</x:v>
      </x:c>
      <x:c r="C76" s="15" t="str">
        <x:v>Assurance</x:v>
      </x:c>
      <x:c r="D76" s="15" t="str">
        <x:v>Evidence</x:v>
      </x:c>
      <x:c r="E76" s="15" t="str">
        <x:v>Implement typed evidence ingestion and validation</x:v>
      </x:c>
      <x:c r="F76" s="15" t="str">
        <x:v>Build</x:v>
      </x:c>
      <x:c r="G76" s="15" t="str">
        <x:v>P0</x:v>
      </x:c>
      <x:c r="H76" s="15" t="str">
        <x:v>Platform Engineer</x:v>
      </x:c>
      <x:c r="I76" s="15" t="str">
        <x:v>Not Started</x:v>
      </x:c>
      <x:c r="J76" s="15" t="n">
        <x:v>3</x:v>
      </x:c>
      <x:c r="K76" s="15" t="str"/>
      <x:c r="L76" s="15" t="str">
        <x:v>Automated test, reviewed artifact or benchmark demonstrates the defined contract.</x:v>
      </x:c>
      <x:c r="M76" s="15" t="str">
        <x:v>Project/Issue</x:v>
      </x:c>
      <x:c r="N76" s="15" t="str">
        <x:v>Cell can update</x:v>
      </x:c>
      <x:c r="O76" s="15" t="str">
        <x:v>Test + artifact</x:v>
      </x:c>
    </x:row>
    <x:row r="77">
      <x:c r="A77" s="15" t="str">
        <x:v>P5-003</x:v>
      </x:c>
      <x:c r="B77" s="15" t="str">
        <x:v>P5</x:v>
      </x:c>
      <x:c r="C77" s="15" t="str">
        <x:v>Assurance</x:v>
      </x:c>
      <x:c r="D77" s="15" t="str">
        <x:v>Assurance</x:v>
      </x:c>
      <x:c r="E77" s="15" t="str">
        <x:v>Implement positive-assertion evaluator</x:v>
      </x:c>
      <x:c r="F77" s="15" t="str">
        <x:v>Build</x:v>
      </x:c>
      <x:c r="G77" s="15" t="str">
        <x:v>P0</x:v>
      </x:c>
      <x:c r="H77" s="15" t="str">
        <x:v>QA Engineer</x:v>
      </x:c>
      <x:c r="I77" s="15" t="str">
        <x:v>Not Started</x:v>
      </x:c>
      <x:c r="J77" s="15" t="n">
        <x:v>4</x:v>
      </x:c>
      <x:c r="K77" s="15" t="str"/>
      <x:c r="L77" s="15" t="str">
        <x:v>Automated test, reviewed artifact or benchmark demonstrates the defined contract.</x:v>
      </x:c>
      <x:c r="M77" s="15" t="str">
        <x:v>Project/Issue</x:v>
      </x:c>
      <x:c r="N77" s="15" t="str">
        <x:v>Cell can update</x:v>
      </x:c>
      <x:c r="O77" s="15" t="str">
        <x:v>Test + artifact</x:v>
      </x:c>
    </x:row>
    <x:row r="78">
      <x:c r="A78" s="15" t="str">
        <x:v>P5-004</x:v>
      </x:c>
      <x:c r="B78" s="15" t="str">
        <x:v>P5</x:v>
      </x:c>
      <x:c r="C78" s="15" t="str">
        <x:v>Assurance</x:v>
      </x:c>
      <x:c r="D78" s="15" t="str">
        <x:v>Assurance</x:v>
      </x:c>
      <x:c r="E78" s="15" t="str">
        <x:v>Implement Mission Assurance Receipt generator</x:v>
      </x:c>
      <x:c r="F78" s="15" t="str">
        <x:v>Build</x:v>
      </x:c>
      <x:c r="G78" s="15" t="str">
        <x:v>P0</x:v>
      </x:c>
      <x:c r="H78" s="15" t="str">
        <x:v>Platform Engineer</x:v>
      </x:c>
      <x:c r="I78" s="15" t="str">
        <x:v>Not Started</x:v>
      </x:c>
      <x:c r="J78" s="15" t="n">
        <x:v>2</x:v>
      </x:c>
      <x:c r="K78" s="15" t="str"/>
      <x:c r="L78" s="15" t="str">
        <x:v>Automated test, reviewed artifact or benchmark demonstrates the defined contract.</x:v>
      </x:c>
      <x:c r="M78" s="15" t="str">
        <x:v>Project/Issue</x:v>
      </x:c>
      <x:c r="N78" s="15" t="str">
        <x:v>Cell can update</x:v>
      </x:c>
      <x:c r="O78" s="15" t="str">
        <x:v>Test + artifact</x:v>
      </x:c>
    </x:row>
    <x:row r="79">
      <x:c r="A79" s="15" t="str">
        <x:v>P5-005</x:v>
      </x:c>
      <x:c r="B79" s="15" t="str">
        <x:v>P5</x:v>
      </x:c>
      <x:c r="C79" s="15" t="str">
        <x:v>Assurance</x:v>
      </x:c>
      <x:c r="D79" s="15" t="str">
        <x:v>Replay</x:v>
      </x:c>
      <x:c r="E79" s="15" t="str">
        <x:v>Capture deterministic replay fixture metadata</x:v>
      </x:c>
      <x:c r="F79" s="15" t="str">
        <x:v>Build</x:v>
      </x:c>
      <x:c r="G79" s="15" t="str">
        <x:v>P0</x:v>
      </x:c>
      <x:c r="H79" s="15" t="str">
        <x:v>Runtime Engineer</x:v>
      </x:c>
      <x:c r="I79" s="15" t="str">
        <x:v>Not Started</x:v>
      </x:c>
      <x:c r="J79" s="15" t="n">
        <x:v>3</x:v>
      </x:c>
      <x:c r="K79" s="15" t="str"/>
      <x:c r="L79" s="15" t="str">
        <x:v>Automated test, reviewed artifact or benchmark demonstrates the defined contract.</x:v>
      </x:c>
      <x:c r="M79" s="15" t="str">
        <x:v>Project/Issue</x:v>
      </x:c>
      <x:c r="N79" s="15" t="str">
        <x:v>Cell can update</x:v>
      </x:c>
      <x:c r="O79" s="15" t="str">
        <x:v>Test + artifact</x:v>
      </x:c>
    </x:row>
    <x:row r="80">
      <x:c r="A80" s="15" t="str">
        <x:v>P5-006</x:v>
      </x:c>
      <x:c r="B80" s="15" t="str">
        <x:v>P5</x:v>
      </x:c>
      <x:c r="C80" s="15" t="str">
        <x:v>Assurance</x:v>
      </x:c>
      <x:c r="D80" s="15" t="str">
        <x:v>Replay</x:v>
      </x:c>
      <x:c r="E80" s="15" t="str">
        <x:v>Implement replay runner with pinned Cell Image</x:v>
      </x:c>
      <x:c r="F80" s="15" t="str">
        <x:v>Build</x:v>
      </x:c>
      <x:c r="G80" s="15" t="str">
        <x:v>P0</x:v>
      </x:c>
      <x:c r="H80" s="15" t="str">
        <x:v>Runtime Engineer</x:v>
      </x:c>
      <x:c r="I80" s="15" t="str">
        <x:v>Not Started</x:v>
      </x:c>
      <x:c r="J80" s="15" t="n">
        <x:v>4</x:v>
      </x:c>
      <x:c r="K80" s="15" t="str"/>
      <x:c r="L80" s="15" t="str">
        <x:v>Automated test, reviewed artifact or benchmark demonstrates the defined contract.</x:v>
      </x:c>
      <x:c r="M80" s="15" t="str">
        <x:v>Project/Issue</x:v>
      </x:c>
      <x:c r="N80" s="15" t="str">
        <x:v>Cell can update</x:v>
      </x:c>
      <x:c r="O80" s="15" t="str">
        <x:v>Test + artifact</x:v>
      </x:c>
    </x:row>
    <x:row r="81">
      <x:c r="A81" s="15" t="str">
        <x:v>P5-007</x:v>
      </x:c>
      <x:c r="B81" s="15" t="str">
        <x:v>P5</x:v>
      </x:c>
      <x:c r="C81" s="15" t="str">
        <x:v>Assurance</x:v>
      </x:c>
      <x:c r="D81" s="15" t="str">
        <x:v>Replay</x:v>
      </x:c>
      <x:c r="E81" s="15" t="str">
        <x:v>Build run diff: primary vs replay</x:v>
      </x:c>
      <x:c r="F81" s="15" t="str">
        <x:v>Build</x:v>
      </x:c>
      <x:c r="G81" s="15" t="str">
        <x:v>P0</x:v>
      </x:c>
      <x:c r="H81" s="15" t="str">
        <x:v>Frontend Engineer</x:v>
      </x:c>
      <x:c r="I81" s="15" t="str">
        <x:v>Not Started</x:v>
      </x:c>
      <x:c r="J81" s="15" t="n">
        <x:v>2</x:v>
      </x:c>
      <x:c r="K81" s="15" t="str"/>
      <x:c r="L81" s="15" t="str">
        <x:v>Automated test, reviewed artifact or benchmark demonstrates the defined contract.</x:v>
      </x:c>
      <x:c r="M81" s="15" t="str">
        <x:v>Project/Issue</x:v>
      </x:c>
      <x:c r="N81" s="15" t="str">
        <x:v>Cell can update</x:v>
      </x:c>
      <x:c r="O81" s="15" t="str">
        <x:v>Test + artifact</x:v>
      </x:c>
    </x:row>
    <x:row r="82">
      <x:c r="A82" s="15" t="str">
        <x:v>P5-008</x:v>
      </x:c>
      <x:c r="B82" s="15" t="str">
        <x:v>P5</x:v>
      </x:c>
      <x:c r="C82" s="15" t="str">
        <x:v>Assurance</x:v>
      </x:c>
      <x:c r="D82" s="15" t="str">
        <x:v>Certification</x:v>
      </x:c>
      <x:c r="E82" s="15" t="str">
        <x:v>Define certification lockfile / attestation record</x:v>
      </x:c>
      <x:c r="F82" s="15" t="str">
        <x:v>Build</x:v>
      </x:c>
      <x:c r="G82" s="15" t="str">
        <x:v>P0</x:v>
      </x:c>
      <x:c r="H82" s="15" t="str">
        <x:v>Security Engineer</x:v>
      </x:c>
      <x:c r="I82" s="15" t="str">
        <x:v>Not Started</x:v>
      </x:c>
      <x:c r="J82" s="15" t="n">
        <x:v>3</x:v>
      </x:c>
      <x:c r="K82" s="15" t="str"/>
      <x:c r="L82" s="15" t="str">
        <x:v>Automated test, reviewed artifact or benchmark demonstrates the defined contract.</x:v>
      </x:c>
      <x:c r="M82" s="15" t="str">
        <x:v>Project/Issue</x:v>
      </x:c>
      <x:c r="N82" s="15" t="str">
        <x:v>Cell can update</x:v>
      </x:c>
      <x:c r="O82" s="15" t="str">
        <x:v>Test + artifact</x:v>
      </x:c>
    </x:row>
    <x:row r="83">
      <x:c r="A83" s="15" t="str">
        <x:v>P5-009</x:v>
      </x:c>
      <x:c r="B83" s="15" t="str">
        <x:v>P5</x:v>
      </x:c>
      <x:c r="C83" s="15" t="str">
        <x:v>Assurance</x:v>
      </x:c>
      <x:c r="D83" s="15" t="str">
        <x:v>Certification</x:v>
      </x:c>
      <x:c r="E83" s="15" t="str">
        <x:v>Implement Cell Image certification workflow</x:v>
      </x:c>
      <x:c r="F83" s="15" t="str">
        <x:v>Build</x:v>
      </x:c>
      <x:c r="G83" s="15" t="str">
        <x:v>P0</x:v>
      </x:c>
      <x:c r="H83" s="15" t="str">
        <x:v>Platform Engineer</x:v>
      </x:c>
      <x:c r="I83" s="15" t="str">
        <x:v>Not Started</x:v>
      </x:c>
      <x:c r="J83" s="15" t="n">
        <x:v>4</x:v>
      </x:c>
      <x:c r="K83" s="15" t="str"/>
      <x:c r="L83" s="15" t="str">
        <x:v>Automated test, reviewed artifact or benchmark demonstrates the defined contract.</x:v>
      </x:c>
      <x:c r="M83" s="15" t="str">
        <x:v>Project/Issue</x:v>
      </x:c>
      <x:c r="N83" s="15" t="str">
        <x:v>Cell can update</x:v>
      </x:c>
      <x:c r="O83" s="15" t="str">
        <x:v>Test + artifact</x:v>
      </x:c>
    </x:row>
    <x:row r="84">
      <x:c r="A84" s="15" t="str">
        <x:v>P5-010</x:v>
      </x:c>
      <x:c r="B84" s="15" t="str">
        <x:v>P5</x:v>
      </x:c>
      <x:c r="C84" s="15" t="str">
        <x:v>Assurance</x:v>
      </x:c>
      <x:c r="D84" s="15" t="str">
        <x:v>Certification</x:v>
      </x:c>
      <x:c r="E84" s="15" t="str">
        <x:v>Implement registry promotion candidate -&gt; certified -&gt; deprecated</x:v>
      </x:c>
      <x:c r="F84" s="15" t="str">
        <x:v>Build</x:v>
      </x:c>
      <x:c r="G84" s="15" t="str">
        <x:v>P0</x:v>
      </x:c>
      <x:c r="H84" s="15" t="str">
        <x:v>Platform Engineer</x:v>
      </x:c>
      <x:c r="I84" s="15" t="str">
        <x:v>Not Started</x:v>
      </x:c>
      <x:c r="J84" s="15" t="n">
        <x:v>2</x:v>
      </x:c>
      <x:c r="K84" s="15" t="str"/>
      <x:c r="L84" s="15" t="str">
        <x:v>Automated test, reviewed artifact or benchmark demonstrates the defined contract.</x:v>
      </x:c>
      <x:c r="M84" s="15" t="str">
        <x:v>Project/Issue</x:v>
      </x:c>
      <x:c r="N84" s="15" t="str">
        <x:v>Cell can update</x:v>
      </x:c>
      <x:c r="O84" s="15" t="str">
        <x:v>Test + artifact</x:v>
      </x:c>
    </x:row>
    <x:row r="85">
      <x:c r="A85" s="15" t="str">
        <x:v>P5-011</x:v>
      </x:c>
      <x:c r="B85" s="15" t="str">
        <x:v>P5</x:v>
      </x:c>
      <x:c r="C85" s="15" t="str">
        <x:v>Assurance</x:v>
      </x:c>
      <x:c r="D85" s="15" t="str">
        <x:v>Gates</x:v>
      </x:c>
      <x:c r="E85" s="15" t="str">
        <x:v>Implement evaluation and approval gate composition</x:v>
      </x:c>
      <x:c r="F85" s="15" t="str">
        <x:v>Build</x:v>
      </x:c>
      <x:c r="G85" s="15" t="str">
        <x:v>P0</x:v>
      </x:c>
      <x:c r="H85" s="15" t="str">
        <x:v>Platform Engineer</x:v>
      </x:c>
      <x:c r="I85" s="15" t="str">
        <x:v>Not Started</x:v>
      </x:c>
      <x:c r="J85" s="15" t="n">
        <x:v>3</x:v>
      </x:c>
      <x:c r="K85" s="15" t="str"/>
      <x:c r="L85" s="15" t="str">
        <x:v>Automated test, reviewed artifact or benchmark demonstrates the defined contract.</x:v>
      </x:c>
      <x:c r="M85" s="15" t="str">
        <x:v>Project/Issue</x:v>
      </x:c>
      <x:c r="N85" s="15" t="str">
        <x:v>Cell can update</x:v>
      </x:c>
      <x:c r="O85" s="15" t="str">
        <x:v>Test + artifact</x:v>
      </x:c>
    </x:row>
    <x:row r="86">
      <x:c r="A86" s="15" t="str">
        <x:v>P5-012</x:v>
      </x:c>
      <x:c r="B86" s="15" t="str">
        <x:v>P5</x:v>
      </x:c>
      <x:c r="C86" s="15" t="str">
        <x:v>Assurance</x:v>
      </x:c>
      <x:c r="D86" s="15" t="str">
        <x:v>Provenance</x:v>
      </x:c>
      <x:c r="E86" s="15" t="str">
        <x:v>Hash/link artifacts, tool calls, config and approvals</x:v>
      </x:c>
      <x:c r="F86" s="15" t="str">
        <x:v>Build</x:v>
      </x:c>
      <x:c r="G86" s="15" t="str">
        <x:v>P0</x:v>
      </x:c>
      <x:c r="H86" s="15" t="str">
        <x:v>Security Engineer</x:v>
      </x:c>
      <x:c r="I86" s="15" t="str">
        <x:v>Not Started</x:v>
      </x:c>
      <x:c r="J86" s="15" t="n">
        <x:v>4</x:v>
      </x:c>
      <x:c r="K86" s="15" t="str"/>
      <x:c r="L86" s="15" t="str">
        <x:v>Automated test, reviewed artifact or benchmark demonstrates the defined contract.</x:v>
      </x:c>
      <x:c r="M86" s="15" t="str">
        <x:v>Project/Issue</x:v>
      </x:c>
      <x:c r="N86" s="15" t="str">
        <x:v>Cell can update</x:v>
      </x:c>
      <x:c r="O86" s="15" t="str">
        <x:v>Test + artifact</x:v>
      </x:c>
    </x:row>
    <x:row r="87">
      <x:c r="A87" s="15" t="str">
        <x:v>P5-013</x:v>
      </x:c>
      <x:c r="B87" s="15" t="str">
        <x:v>P5</x:v>
      </x:c>
      <x:c r="C87" s="15" t="str">
        <x:v>Assurance</x:v>
      </x:c>
      <x:c r="D87" s="15" t="str">
        <x:v>QA</x:v>
      </x:c>
      <x:c r="E87" s="15" t="str">
        <x:v>Create false-green regression suite</x:v>
      </x:c>
      <x:c r="F87" s="15" t="str">
        <x:v>Build</x:v>
      </x:c>
      <x:c r="G87" s="15" t="str">
        <x:v>P0</x:v>
      </x:c>
      <x:c r="H87" s="15" t="str">
        <x:v>QA Engineer</x:v>
      </x:c>
      <x:c r="I87" s="15" t="str">
        <x:v>Not Started</x:v>
      </x:c>
      <x:c r="J87" s="15" t="n">
        <x:v>2</x:v>
      </x:c>
      <x:c r="K87" s="15" t="str"/>
      <x:c r="L87" s="15" t="str">
        <x:v>Automated test, reviewed artifact or benchmark demonstrates the defined contract.</x:v>
      </x:c>
      <x:c r="M87" s="15" t="str">
        <x:v>Project/Issue</x:v>
      </x:c>
      <x:c r="N87" s="15" t="str">
        <x:v>Cell can update</x:v>
      </x:c>
      <x:c r="O87" s="15" t="str">
        <x:v>Test + artifact</x:v>
      </x:c>
    </x:row>
    <x:row r="88">
      <x:c r="A88" s="15" t="str">
        <x:v>P5-014</x:v>
      </x:c>
      <x:c r="B88" s="15" t="str">
        <x:v>P5</x:v>
      </x:c>
      <x:c r="C88" s="15" t="str">
        <x:v>Assurance</x:v>
      </x:c>
      <x:c r="D88" s="15" t="str">
        <x:v>QA</x:v>
      </x:c>
      <x:c r="E88" s="15" t="str">
        <x:v>Create RED-&gt;GREEN proof fixture library</x:v>
      </x:c>
      <x:c r="F88" s="15" t="str">
        <x:v>Build</x:v>
      </x:c>
      <x:c r="G88" s="15" t="str">
        <x:v>P0</x:v>
      </x:c>
      <x:c r="H88" s="15" t="str">
        <x:v>QA Engineer</x:v>
      </x:c>
      <x:c r="I88" s="15" t="str">
        <x:v>Not Started</x:v>
      </x:c>
      <x:c r="J88" s="15" t="n">
        <x:v>3</x:v>
      </x:c>
      <x:c r="K88" s="15" t="str"/>
      <x:c r="L88" s="15" t="str">
        <x:v>Automated test, reviewed artifact or benchmark demonstrates the defined contract.</x:v>
      </x:c>
      <x:c r="M88" s="15" t="str">
        <x:v>Project/Issue</x:v>
      </x:c>
      <x:c r="N88" s="15" t="str">
        <x:v>Cell can update</x:v>
      </x:c>
      <x:c r="O88" s="15" t="str">
        <x:v>Test + artifact</x:v>
      </x:c>
    </x:row>
    <x:row r="89">
      <x:c r="A89" s="15" t="str">
        <x:v>P5-015</x:v>
      </x:c>
      <x:c r="B89" s="15" t="str">
        <x:v>P5</x:v>
      </x:c>
      <x:c r="C89" s="15" t="str">
        <x:v>Assurance</x:v>
      </x:c>
      <x:c r="D89" s="15" t="str">
        <x:v>UX</x:v>
      </x:c>
      <x:c r="E89" s="15" t="str">
        <x:v>Build Assurance Receipt viewer</x:v>
      </x:c>
      <x:c r="F89" s="15" t="str">
        <x:v>Build</x:v>
      </x:c>
      <x:c r="G89" s="15" t="str">
        <x:v>P0</x:v>
      </x:c>
      <x:c r="H89" s="15" t="str">
        <x:v>Frontend Engineer</x:v>
      </x:c>
      <x:c r="I89" s="15" t="str">
        <x:v>Not Started</x:v>
      </x:c>
      <x:c r="J89" s="15" t="n">
        <x:v>4</x:v>
      </x:c>
      <x:c r="K89" s="15" t="str"/>
      <x:c r="L89" s="15" t="str">
        <x:v>Automated test, reviewed artifact or benchmark demonstrates the defined contract.</x:v>
      </x:c>
      <x:c r="M89" s="15" t="str">
        <x:v>Project/Issue</x:v>
      </x:c>
      <x:c r="N89" s="15" t="str">
        <x:v>Cell can update</x:v>
      </x:c>
      <x:c r="O89" s="15" t="str">
        <x:v>Test + artifact</x:v>
      </x:c>
    </x:row>
    <x:row r="90">
      <x:c r="A90" s="15" t="str">
        <x:v>P6-001</x:v>
      </x:c>
      <x:c r="B90" s="15" t="str">
        <x:v>P6</x:v>
      </x:c>
      <x:c r="C90" s="15" t="str">
        <x:v>HyperMESH</x:v>
      </x:c>
      <x:c r="D90" s="15" t="str">
        <x:v>Storage</x:v>
      </x:c>
      <x:c r="E90" s="15" t="str">
        <x:v>Define authoritative evidence/history substrate</x:v>
      </x:c>
      <x:c r="F90" s="15" t="str">
        <x:v>Build</x:v>
      </x:c>
      <x:c r="G90" s="15" t="str">
        <x:v>P0</x:v>
      </x:c>
      <x:c r="H90" s="15" t="str">
        <x:v>Data Architect</x:v>
      </x:c>
      <x:c r="I90" s="15" t="str">
        <x:v>Not Started</x:v>
      </x:c>
      <x:c r="J90" s="15" t="n">
        <x:v>2</x:v>
      </x:c>
      <x:c r="K90" s="15" t="str"/>
      <x:c r="L90" s="15" t="str">
        <x:v>Automated test, reviewed artifact or benchmark demonstrates the defined contract.</x:v>
      </x:c>
      <x:c r="M90" s="15" t="str">
        <x:v>Project/Issue</x:v>
      </x:c>
      <x:c r="N90" s="15" t="str">
        <x:v>Cell can update</x:v>
      </x:c>
      <x:c r="O90" s="15" t="str">
        <x:v>Test + artifact</x:v>
      </x:c>
    </x:row>
    <x:row r="91">
      <x:c r="A91" s="15" t="str">
        <x:v>P6-002</x:v>
      </x:c>
      <x:c r="B91" s="15" t="str">
        <x:v>P6</x:v>
      </x:c>
      <x:c r="C91" s="15" t="str">
        <x:v>HyperMESH</x:v>
      </x:c>
      <x:c r="D91" s="15" t="str">
        <x:v>Storage</x:v>
      </x:c>
      <x:c r="E91" s="15" t="str">
        <x:v>Implement immutable artifact/content-addressed storage</x:v>
      </x:c>
      <x:c r="F91" s="15" t="str">
        <x:v>Build</x:v>
      </x:c>
      <x:c r="G91" s="15" t="str">
        <x:v>P0</x:v>
      </x:c>
      <x:c r="H91" s="15" t="str">
        <x:v>Data Engineer</x:v>
      </x:c>
      <x:c r="I91" s="15" t="str">
        <x:v>Not Started</x:v>
      </x:c>
      <x:c r="J91" s="15" t="n">
        <x:v>3</x:v>
      </x:c>
      <x:c r="K91" s="15" t="str"/>
      <x:c r="L91" s="15" t="str">
        <x:v>Automated test, reviewed artifact or benchmark demonstrates the defined contract.</x:v>
      </x:c>
      <x:c r="M91" s="15" t="str">
        <x:v>Project/Issue</x:v>
      </x:c>
      <x:c r="N91" s="15" t="str">
        <x:v>Cell can update</x:v>
      </x:c>
      <x:c r="O91" s="15" t="str">
        <x:v>Test + artifact</x:v>
      </x:c>
    </x:row>
    <x:row r="92">
      <x:c r="A92" s="15" t="str">
        <x:v>P6-003</x:v>
      </x:c>
      <x:c r="B92" s="15" t="str">
        <x:v>P6</x:v>
      </x:c>
      <x:c r="C92" s="15" t="str">
        <x:v>HyperMESH</x:v>
      </x:c>
      <x:c r="D92" s="15" t="str">
        <x:v>Episodes</x:v>
      </x:c>
      <x:c r="E92" s="15" t="str">
        <x:v>Implement mission episodic memory projection</x:v>
      </x:c>
      <x:c r="F92" s="15" t="str">
        <x:v>Build</x:v>
      </x:c>
      <x:c r="G92" s="15" t="str">
        <x:v>P0</x:v>
      </x:c>
      <x:c r="H92" s="15" t="str">
        <x:v>Data Engineer</x:v>
      </x:c>
      <x:c r="I92" s="15" t="str">
        <x:v>Not Started</x:v>
      </x:c>
      <x:c r="J92" s="15" t="n">
        <x:v>4</x:v>
      </x:c>
      <x:c r="K92" s="15" t="str"/>
      <x:c r="L92" s="15" t="str">
        <x:v>Automated test, reviewed artifact or benchmark demonstrates the defined contract.</x:v>
      </x:c>
      <x:c r="M92" s="15" t="str">
        <x:v>Project/Issue</x:v>
      </x:c>
      <x:c r="N92" s="15" t="str">
        <x:v>Cell can update</x:v>
      </x:c>
      <x:c r="O92" s="15" t="str">
        <x:v>Test + artifact</x:v>
      </x:c>
    </x:row>
    <x:row r="93">
      <x:c r="A93" s="15" t="str">
        <x:v>P6-004</x:v>
      </x:c>
      <x:c r="B93" s="15" t="str">
        <x:v>P6</x:v>
      </x:c>
      <x:c r="C93" s="15" t="str">
        <x:v>HyperMESH</x:v>
      </x:c>
      <x:c r="D93" s="15" t="str">
        <x:v>Semantic</x:v>
      </x:c>
      <x:c r="E93" s="15" t="str">
        <x:v>Implement validated claim/provenance model</x:v>
      </x:c>
      <x:c r="F93" s="15" t="str">
        <x:v>Build</x:v>
      </x:c>
      <x:c r="G93" s="15" t="str">
        <x:v>P0</x:v>
      </x:c>
      <x:c r="H93" s="15" t="str">
        <x:v>Knowledge Engineer</x:v>
      </x:c>
      <x:c r="I93" s="15" t="str">
        <x:v>Not Started</x:v>
      </x:c>
      <x:c r="J93" s="15" t="n">
        <x:v>2</x:v>
      </x:c>
      <x:c r="K93" s="15" t="str"/>
      <x:c r="L93" s="15" t="str">
        <x:v>Automated test, reviewed artifact or benchmark demonstrates the defined contract.</x:v>
      </x:c>
      <x:c r="M93" s="15" t="str">
        <x:v>Project/Issue</x:v>
      </x:c>
      <x:c r="N93" s="15" t="str">
        <x:v>Cell can update</x:v>
      </x:c>
      <x:c r="O93" s="15" t="str">
        <x:v>Test + artifact</x:v>
      </x:c>
    </x:row>
    <x:row r="94">
      <x:c r="A94" s="15" t="str">
        <x:v>P6-005</x:v>
      </x:c>
      <x:c r="B94" s="15" t="str">
        <x:v>P6</x:v>
      </x:c>
      <x:c r="C94" s="15" t="str">
        <x:v>HyperMESH</x:v>
      </x:c>
      <x:c r="D94" s="15" t="str">
        <x:v>Graph</x:v>
      </x:c>
      <x:c r="E94" s="15" t="str">
        <x:v>Implement temporal knowledge graph projection</x:v>
      </x:c>
      <x:c r="F94" s="15" t="str">
        <x:v>Build</x:v>
      </x:c>
      <x:c r="G94" s="15" t="str">
        <x:v>P0</x:v>
      </x:c>
      <x:c r="H94" s="15" t="str">
        <x:v>Knowledge Engineer</x:v>
      </x:c>
      <x:c r="I94" s="15" t="str">
        <x:v>Not Started</x:v>
      </x:c>
      <x:c r="J94" s="15" t="n">
        <x:v>3</x:v>
      </x:c>
      <x:c r="K94" s="15" t="str"/>
      <x:c r="L94" s="15" t="str">
        <x:v>Automated test, reviewed artifact or benchmark demonstrates the defined contract.</x:v>
      </x:c>
      <x:c r="M94" s="15" t="str">
        <x:v>Project/Issue</x:v>
      </x:c>
      <x:c r="N94" s="15" t="str">
        <x:v>Cell can update</x:v>
      </x:c>
      <x:c r="O94" s="15" t="str">
        <x:v>Test + artifact</x:v>
      </x:c>
    </x:row>
    <x:row r="95">
      <x:c r="A95" s="15" t="str">
        <x:v>P6-006</x:v>
      </x:c>
      <x:c r="B95" s="15" t="str">
        <x:v>P6</x:v>
      </x:c>
      <x:c r="C95" s="15" t="str">
        <x:v>HyperMESH</x:v>
      </x:c>
      <x:c r="D95" s="15" t="str">
        <x:v>Vector</x:v>
      </x:c>
      <x:c r="E95" s="15" t="str">
        <x:v>Implement semantic/vector retrieval projection</x:v>
      </x:c>
      <x:c r="F95" s="15" t="str">
        <x:v>Build</x:v>
      </x:c>
      <x:c r="G95" s="15" t="str">
        <x:v>P0</x:v>
      </x:c>
      <x:c r="H95" s="15" t="str">
        <x:v>ML Engineer</x:v>
      </x:c>
      <x:c r="I95" s="15" t="str">
        <x:v>Not Started</x:v>
      </x:c>
      <x:c r="J95" s="15" t="n">
        <x:v>4</x:v>
      </x:c>
      <x:c r="K95" s="15" t="str"/>
      <x:c r="L95" s="15" t="str">
        <x:v>Automated test, reviewed artifact or benchmark demonstrates the defined contract.</x:v>
      </x:c>
      <x:c r="M95" s="15" t="str">
        <x:v>Project/Issue</x:v>
      </x:c>
      <x:c r="N95" s="15" t="str">
        <x:v>Cell can update</x:v>
      </x:c>
      <x:c r="O95" s="15" t="str">
        <x:v>Test + artifact</x:v>
      </x:c>
    </x:row>
    <x:row r="96">
      <x:c r="A96" s="15" t="str">
        <x:v>P6-007</x:v>
      </x:c>
      <x:c r="B96" s="15" t="str">
        <x:v>P6</x:v>
      </x:c>
      <x:c r="C96" s="15" t="str">
        <x:v>HyperMESH</x:v>
      </x:c>
      <x:c r="D96" s="15" t="str">
        <x:v>Procedural</x:v>
      </x:c>
      <x:c r="E96" s="15" t="str">
        <x:v>Implement versioned procedure/skill store</x:v>
      </x:c>
      <x:c r="F96" s="15" t="str">
        <x:v>Build</x:v>
      </x:c>
      <x:c r="G96" s="15" t="str">
        <x:v>P0</x:v>
      </x:c>
      <x:c r="H96" s="15" t="str">
        <x:v>Platform Engineer</x:v>
      </x:c>
      <x:c r="I96" s="15" t="str">
        <x:v>Not Started</x:v>
      </x:c>
      <x:c r="J96" s="15" t="n">
        <x:v>2</x:v>
      </x:c>
      <x:c r="K96" s="15" t="str"/>
      <x:c r="L96" s="15" t="str">
        <x:v>Automated test, reviewed artifact or benchmark demonstrates the defined contract.</x:v>
      </x:c>
      <x:c r="M96" s="15" t="str">
        <x:v>Project/Issue</x:v>
      </x:c>
      <x:c r="N96" s="15" t="str">
        <x:v>Cell can update</x:v>
      </x:c>
      <x:c r="O96" s="15" t="str">
        <x:v>Test + artifact</x:v>
      </x:c>
    </x:row>
    <x:row r="97">
      <x:c r="A97" s="15" t="str">
        <x:v>P6-008</x:v>
      </x:c>
      <x:c r="B97" s="15" t="str">
        <x:v>P6</x:v>
      </x:c>
      <x:c r="C97" s="15" t="str">
        <x:v>HyperMESH</x:v>
      </x:c>
      <x:c r="D97" s="15" t="str">
        <x:v>Promotion</x:v>
      </x:c>
      <x:c r="E97" s="15" t="str">
        <x:v>Implement observation -&gt; episode -&gt; claim -&gt; verified knowledge workflow</x:v>
      </x:c>
      <x:c r="F97" s="15" t="str">
        <x:v>Build</x:v>
      </x:c>
      <x:c r="G97" s="15" t="str">
        <x:v>P0</x:v>
      </x:c>
      <x:c r="H97" s="15" t="str">
        <x:v>Knowledge Engineer</x:v>
      </x:c>
      <x:c r="I97" s="15" t="str">
        <x:v>Not Started</x:v>
      </x:c>
      <x:c r="J97" s="15" t="n">
        <x:v>3</x:v>
      </x:c>
      <x:c r="K97" s="15" t="str"/>
      <x:c r="L97" s="15" t="str">
        <x:v>Automated test, reviewed artifact or benchmark demonstrates the defined contract.</x:v>
      </x:c>
      <x:c r="M97" s="15" t="str">
        <x:v>Project/Issue</x:v>
      </x:c>
      <x:c r="N97" s="15" t="str">
        <x:v>Cell can update</x:v>
      </x:c>
      <x:c r="O97" s="15" t="str">
        <x:v>Test + artifact</x:v>
      </x:c>
    </x:row>
    <x:row r="98">
      <x:c r="A98" s="15" t="str">
        <x:v>P6-009</x:v>
      </x:c>
      <x:c r="B98" s="15" t="str">
        <x:v>P6</x:v>
      </x:c>
      <x:c r="C98" s="15" t="str">
        <x:v>HyperMESH</x:v>
      </x:c>
      <x:c r="D98" s="15" t="str">
        <x:v>Contradictions</x:v>
      </x:c>
      <x:c r="E98" s="15" t="str">
        <x:v>Implement contradiction queue and supersession semantics</x:v>
      </x:c>
      <x:c r="F98" s="15" t="str">
        <x:v>Build</x:v>
      </x:c>
      <x:c r="G98" s="15" t="str">
        <x:v>P0</x:v>
      </x:c>
      <x:c r="H98" s="15" t="str">
        <x:v>Knowledge Engineer</x:v>
      </x:c>
      <x:c r="I98" s="15" t="str">
        <x:v>Not Started</x:v>
      </x:c>
      <x:c r="J98" s="15" t="n">
        <x:v>4</x:v>
      </x:c>
      <x:c r="K98" s="15" t="str"/>
      <x:c r="L98" s="15" t="str">
        <x:v>Automated test, reviewed artifact or benchmark demonstrates the defined contract.</x:v>
      </x:c>
      <x:c r="M98" s="15" t="str">
        <x:v>Project/Issue</x:v>
      </x:c>
      <x:c r="N98" s="15" t="str">
        <x:v>Cell can update</x:v>
      </x:c>
      <x:c r="O98" s="15" t="str">
        <x:v>Test + artifact</x:v>
      </x:c>
    </x:row>
    <x:row r="99">
      <x:c r="A99" s="15" t="str">
        <x:v>P6-010</x:v>
      </x:c>
      <x:c r="B99" s="15" t="str">
        <x:v>P6</x:v>
      </x:c>
      <x:c r="C99" s="15" t="str">
        <x:v>HyperMESH</x:v>
      </x:c>
      <x:c r="D99" s="15" t="str">
        <x:v>Context VM</x:v>
      </x:c>
      <x:c r="E99" s="15" t="str">
        <x:v>Define Context Page, mount and address-space contracts</x:v>
      </x:c>
      <x:c r="F99" s="15" t="str">
        <x:v>Build</x:v>
      </x:c>
      <x:c r="G99" s="15" t="str">
        <x:v>P0</x:v>
      </x:c>
      <x:c r="H99" s="15" t="str">
        <x:v>AI Research Engineer</x:v>
      </x:c>
      <x:c r="I99" s="15" t="str">
        <x:v>Not Started</x:v>
      </x:c>
      <x:c r="J99" s="15" t="n">
        <x:v>2</x:v>
      </x:c>
      <x:c r="K99" s="15" t="str"/>
      <x:c r="L99" s="15" t="str">
        <x:v>Automated test, reviewed artifact or benchmark demonstrates the defined contract.</x:v>
      </x:c>
      <x:c r="M99" s="15" t="str">
        <x:v>Project/Issue</x:v>
      </x:c>
      <x:c r="N99" s="15" t="str">
        <x:v>Cell can update</x:v>
      </x:c>
      <x:c r="O99" s="15" t="str">
        <x:v>Test + artifact</x:v>
      </x:c>
    </x:row>
    <x:row r="100">
      <x:c r="A100" s="15" t="str">
        <x:v>P6-011</x:v>
      </x:c>
      <x:c r="B100" s="15" t="str">
        <x:v>P6</x:v>
      </x:c>
      <x:c r="C100" s="15" t="str">
        <x:v>HyperMESH</x:v>
      </x:c>
      <x:c r="D100" s="15" t="str">
        <x:v>Context VM</x:v>
      </x:c>
      <x:c r="E100" s="15" t="str">
        <x:v>Implement authorization-aware context retrieval</x:v>
      </x:c>
      <x:c r="F100" s="15" t="str">
        <x:v>Build</x:v>
      </x:c>
      <x:c r="G100" s="15" t="str">
        <x:v>P0</x:v>
      </x:c>
      <x:c r="H100" s="15" t="str">
        <x:v>Platform Engineer</x:v>
      </x:c>
      <x:c r="I100" s="15" t="str">
        <x:v>Not Started</x:v>
      </x:c>
      <x:c r="J100" s="15" t="n">
        <x:v>3</x:v>
      </x:c>
      <x:c r="K100" s="15" t="str"/>
      <x:c r="L100" s="15" t="str">
        <x:v>Automated test, reviewed artifact or benchmark demonstrates the defined contract.</x:v>
      </x:c>
      <x:c r="M100" s="15" t="str">
        <x:v>Project/Issue</x:v>
      </x:c>
      <x:c r="N100" s="15" t="str">
        <x:v>Cell can update</x:v>
      </x:c>
      <x:c r="O100" s="15" t="str">
        <x:v>Test + artifact</x:v>
      </x:c>
    </x:row>
    <x:row r="101">
      <x:c r="A101" s="15" t="str">
        <x:v>P6-012</x:v>
      </x:c>
      <x:c r="B101" s="15" t="str">
        <x:v>P6</x:v>
      </x:c>
      <x:c r="C101" s="15" t="str">
        <x:v>HyperMESH</x:v>
      </x:c>
      <x:c r="D101" s="15" t="str">
        <x:v>Context VM</x:v>
      </x:c>
      <x:c r="E101" s="15" t="str">
        <x:v>Implement ranking by mission dependency, similarity, freshness, trust and cost</x:v>
      </x:c>
      <x:c r="F101" s="15" t="str">
        <x:v>Build</x:v>
      </x:c>
      <x:c r="G101" s="15" t="str">
        <x:v>P0</x:v>
      </x:c>
      <x:c r="H101" s="15" t="str">
        <x:v>ML Engineer</x:v>
      </x:c>
      <x:c r="I101" s="15" t="str">
        <x:v>Not Started</x:v>
      </x:c>
      <x:c r="J101" s="15" t="n">
        <x:v>4</x:v>
      </x:c>
      <x:c r="K101" s="15" t="str"/>
      <x:c r="L101" s="15" t="str">
        <x:v>Automated test, reviewed artifact or benchmark demonstrates the defined contract.</x:v>
      </x:c>
      <x:c r="M101" s="15" t="str">
        <x:v>Project/Issue</x:v>
      </x:c>
      <x:c r="N101" s="15" t="str">
        <x:v>Cell can update</x:v>
      </x:c>
      <x:c r="O101" s="15" t="str">
        <x:v>Test + artifact</x:v>
      </x:c>
    </x:row>
    <x:row r="102">
      <x:c r="A102" s="15" t="str">
        <x:v>P6-013</x:v>
      </x:c>
      <x:c r="B102" s="15" t="str">
        <x:v>P6</x:v>
      </x:c>
      <x:c r="C102" s="15" t="str">
        <x:v>HyperMESH</x:v>
      </x:c>
      <x:c r="D102" s="15" t="str">
        <x:v>Context VM</x:v>
      </x:c>
      <x:c r="E102" s="15" t="str">
        <x:v>Implement compression/summarization with provenance retention</x:v>
      </x:c>
      <x:c r="F102" s="15" t="str">
        <x:v>Build</x:v>
      </x:c>
      <x:c r="G102" s="15" t="str">
        <x:v>P0</x:v>
      </x:c>
      <x:c r="H102" s="15" t="str">
        <x:v>AI Engineer</x:v>
      </x:c>
      <x:c r="I102" s="15" t="str">
        <x:v>Not Started</x:v>
      </x:c>
      <x:c r="J102" s="15" t="n">
        <x:v>2</x:v>
      </x:c>
      <x:c r="K102" s="15" t="str"/>
      <x:c r="L102" s="15" t="str">
        <x:v>Automated test, reviewed artifact or benchmark demonstrates the defined contract.</x:v>
      </x:c>
      <x:c r="M102" s="15" t="str">
        <x:v>Project/Issue</x:v>
      </x:c>
      <x:c r="N102" s="15" t="str">
        <x:v>Cell can update</x:v>
      </x:c>
      <x:c r="O102" s="15" t="str">
        <x:v>Test + artifact</x:v>
      </x:c>
    </x:row>
    <x:row r="103">
      <x:c r="A103" s="15" t="str">
        <x:v>P6-014</x:v>
      </x:c>
      <x:c r="B103" s="15" t="str">
        <x:v>P6</x:v>
      </x:c>
      <x:c r="C103" s="15" t="str">
        <x:v>HyperMESH</x:v>
      </x:c>
      <x:c r="D103" s="15" t="str">
        <x:v>Context VM</x:v>
      </x:c>
      <x:c r="E103" s="15" t="str">
        <x:v>Implement context fault and controlled refresh</x:v>
      </x:c>
      <x:c r="F103" s="15" t="str">
        <x:v>Build</x:v>
      </x:c>
      <x:c r="G103" s="15" t="str">
        <x:v>P0</x:v>
      </x:c>
      <x:c r="H103" s="15" t="str">
        <x:v>AI Engineer</x:v>
      </x:c>
      <x:c r="I103" s="15" t="str">
        <x:v>Not Started</x:v>
      </x:c>
      <x:c r="J103" s="15" t="n">
        <x:v>3</x:v>
      </x:c>
      <x:c r="K103" s="15" t="str"/>
      <x:c r="L103" s="15" t="str">
        <x:v>Automated test, reviewed artifact or benchmark demonstrates the defined contract.</x:v>
      </x:c>
      <x:c r="M103" s="15" t="str">
        <x:v>Project/Issue</x:v>
      </x:c>
      <x:c r="N103" s="15" t="str">
        <x:v>Cell can update</x:v>
      </x:c>
      <x:c r="O103" s="15" t="str">
        <x:v>Test + artifact</x:v>
      </x:c>
    </x:row>
    <x:row r="104">
      <x:c r="A104" s="15" t="str">
        <x:v>P6-015</x:v>
      </x:c>
      <x:c r="B104" s="15" t="str">
        <x:v>P6</x:v>
      </x:c>
      <x:c r="C104" s="15" t="str">
        <x:v>HyperMESH</x:v>
      </x:c>
      <x:c r="D104" s="15" t="str">
        <x:v>Context VM</x:v>
      </x:c>
      <x:c r="E104" s="15" t="str">
        <x:v>Implement context pressure metrics and eviction policy</x:v>
      </x:c>
      <x:c r="F104" s="15" t="str">
        <x:v>Build</x:v>
      </x:c>
      <x:c r="G104" s="15" t="str">
        <x:v>P0</x:v>
      </x:c>
      <x:c r="H104" s="15" t="str">
        <x:v>AI Engineer</x:v>
      </x:c>
      <x:c r="I104" s="15" t="str">
        <x:v>Not Started</x:v>
      </x:c>
      <x:c r="J104" s="15" t="n">
        <x:v>4</x:v>
      </x:c>
      <x:c r="K104" s="15" t="str"/>
      <x:c r="L104" s="15" t="str">
        <x:v>Automated test, reviewed artifact or benchmark demonstrates the defined contract.</x:v>
      </x:c>
      <x:c r="M104" s="15" t="str">
        <x:v>Project/Issue</x:v>
      </x:c>
      <x:c r="N104" s="15" t="str">
        <x:v>Cell can update</x:v>
      </x:c>
      <x:c r="O104" s="15" t="str">
        <x:v>Test + artifact</x:v>
      </x:c>
    </x:row>
    <x:row r="105">
      <x:c r="A105" s="15" t="str">
        <x:v>P6-016</x:v>
      </x:c>
      <x:c r="B105" s="15" t="str">
        <x:v>P6</x:v>
      </x:c>
      <x:c r="C105" s="15" t="str">
        <x:v>HyperMESH</x:v>
      </x:c>
      <x:c r="D105" s="15" t="str">
        <x:v>Retrieval QA</x:v>
      </x:c>
      <x:c r="E105" s="15" t="str">
        <x:v>Build retrieval evaluation set and leakage tests</x:v>
      </x:c>
      <x:c r="F105" s="15" t="str">
        <x:v>Build</x:v>
      </x:c>
      <x:c r="G105" s="15" t="str">
        <x:v>P0</x:v>
      </x:c>
      <x:c r="H105" s="15" t="str">
        <x:v>QA Engineer</x:v>
      </x:c>
      <x:c r="I105" s="15" t="str">
        <x:v>Not Started</x:v>
      </x:c>
      <x:c r="J105" s="15" t="n">
        <x:v>2</x:v>
      </x:c>
      <x:c r="K105" s="15" t="str"/>
      <x:c r="L105" s="15" t="str">
        <x:v>Automated test, reviewed artifact or benchmark demonstrates the defined contract.</x:v>
      </x:c>
      <x:c r="M105" s="15" t="str">
        <x:v>Project/Issue</x:v>
      </x:c>
      <x:c r="N105" s="15" t="str">
        <x:v>Cell can update</x:v>
      </x:c>
      <x:c r="O105" s="15" t="str">
        <x:v>Test + artifact</x:v>
      </x:c>
    </x:row>
    <x:row r="106">
      <x:c r="A106" s="15" t="str">
        <x:v>P6-017</x:v>
      </x:c>
      <x:c r="B106" s="15" t="str">
        <x:v>P6</x:v>
      </x:c>
      <x:c r="C106" s="15" t="str">
        <x:v>HyperMESH</x:v>
      </x:c>
      <x:c r="D106" s="15" t="str">
        <x:v>UX</x:v>
      </x:c>
      <x:c r="E106" s="15" t="str">
        <x:v>Build HyperMESH Explorer and retrieval debugger</x:v>
      </x:c>
      <x:c r="F106" s="15" t="str">
        <x:v>Build</x:v>
      </x:c>
      <x:c r="G106" s="15" t="str">
        <x:v>P1</x:v>
      </x:c>
      <x:c r="H106" s="15" t="str">
        <x:v>Frontend Engineer</x:v>
      </x:c>
      <x:c r="I106" s="15" t="str">
        <x:v>Not Started</x:v>
      </x:c>
      <x:c r="J106" s="15" t="n">
        <x:v>3</x:v>
      </x:c>
      <x:c r="K106" s="15" t="str"/>
      <x:c r="L106" s="15" t="str">
        <x:v>Automated test, reviewed artifact or benchmark demonstrates the defined contract.</x:v>
      </x:c>
      <x:c r="M106" s="15" t="str">
        <x:v>Project/Issue</x:v>
      </x:c>
      <x:c r="N106" s="15" t="str">
        <x:v>Cell can update</x:v>
      </x:c>
      <x:c r="O106" s="15" t="str">
        <x:v>Test + artifact</x:v>
      </x:c>
    </x:row>
    <x:row r="107">
      <x:c r="A107" s="15" t="str">
        <x:v>P7-001</x:v>
      </x:c>
      <x:c r="B107" s="15" t="str">
        <x:v>P7</x:v>
      </x:c>
      <x:c r="C107" s="15" t="str">
        <x:v>Cognitive Governor</x:v>
      </x:c>
      <x:c r="D107" s="15" t="str">
        <x:v>Reasoning IR</x:v>
      </x:c>
      <x:c r="E107" s="15" t="str">
        <x:v>Implement typed claim/evidence/uncertainty/proposed-action schema</x:v>
      </x:c>
      <x:c r="F107" s="15" t="str">
        <x:v>Build</x:v>
      </x:c>
      <x:c r="G107" s="15" t="str">
        <x:v>P0</x:v>
      </x:c>
      <x:c r="H107" s="15" t="str">
        <x:v>AI Research Engineer</x:v>
      </x:c>
      <x:c r="I107" s="15" t="str">
        <x:v>Not Started</x:v>
      </x:c>
      <x:c r="J107" s="15" t="n">
        <x:v>2</x:v>
      </x:c>
      <x:c r="K107" s="15" t="str"/>
      <x:c r="L107" s="15" t="str">
        <x:v>Automated test, reviewed artifact or benchmark demonstrates the defined contract.</x:v>
      </x:c>
      <x:c r="M107" s="15" t="str">
        <x:v>Project/Issue</x:v>
      </x:c>
      <x:c r="N107" s="15" t="str">
        <x:v>Cell can update</x:v>
      </x:c>
      <x:c r="O107" s="15" t="str">
        <x:v>Test + artifact</x:v>
      </x:c>
    </x:row>
    <x:row r="108">
      <x:c r="A108" s="15" t="str">
        <x:v>P7-002</x:v>
      </x:c>
      <x:c r="B108" s="15" t="str">
        <x:v>P7</x:v>
      </x:c>
      <x:c r="C108" s="15" t="str">
        <x:v>Cognitive Governor</x:v>
      </x:c>
      <x:c r="D108" s="15" t="str">
        <x:v>Governor</x:v>
      </x:c>
      <x:c r="E108" s="15" t="str">
        <x:v>Implement hot/warm/cold cognitive routing skeleton</x:v>
      </x:c>
      <x:c r="F108" s="15" t="str">
        <x:v>Build</x:v>
      </x:c>
      <x:c r="G108" s="15" t="str">
        <x:v>P0</x:v>
      </x:c>
      <x:c r="H108" s="15" t="str">
        <x:v>AI Engineer</x:v>
      </x:c>
      <x:c r="I108" s="15" t="str">
        <x:v>Not Started</x:v>
      </x:c>
      <x:c r="J108" s="15" t="n">
        <x:v>3</x:v>
      </x:c>
      <x:c r="K108" s="15" t="str"/>
      <x:c r="L108" s="15" t="str">
        <x:v>Automated test, reviewed artifact or benchmark demonstrates the defined contract.</x:v>
      </x:c>
      <x:c r="M108" s="15" t="str">
        <x:v>Project/Issue</x:v>
      </x:c>
      <x:c r="N108" s="15" t="str">
        <x:v>Cell can update</x:v>
      </x:c>
      <x:c r="O108" s="15" t="str">
        <x:v>Test + artifact</x:v>
      </x:c>
    </x:row>
    <x:row r="109">
      <x:c r="A109" s="15" t="str">
        <x:v>P7-003</x:v>
      </x:c>
      <x:c r="B109" s="15" t="str">
        <x:v>P7</x:v>
      </x:c>
      <x:c r="C109" s="15" t="str">
        <x:v>Cognitive Governor</x:v>
      </x:c>
      <x:c r="D109" s="15" t="str">
        <x:v>Governor</x:v>
      </x:c>
      <x:c r="E109" s="15" t="str">
        <x:v>Implement risk/uncertainty escalation policy</x:v>
      </x:c>
      <x:c r="F109" s="15" t="str">
        <x:v>Build</x:v>
      </x:c>
      <x:c r="G109" s="15" t="str">
        <x:v>P0</x:v>
      </x:c>
      <x:c r="H109" s="15" t="str">
        <x:v>AI Research Engineer</x:v>
      </x:c>
      <x:c r="I109" s="15" t="str">
        <x:v>Not Started</x:v>
      </x:c>
      <x:c r="J109" s="15" t="n">
        <x:v>4</x:v>
      </x:c>
      <x:c r="K109" s="15" t="str"/>
      <x:c r="L109" s="15" t="str">
        <x:v>Automated test, reviewed artifact or benchmark demonstrates the defined contract.</x:v>
      </x:c>
      <x:c r="M109" s="15" t="str">
        <x:v>Project/Issue</x:v>
      </x:c>
      <x:c r="N109" s="15" t="str">
        <x:v>Cell can update</x:v>
      </x:c>
      <x:c r="O109" s="15" t="str">
        <x:v>Test + artifact</x:v>
      </x:c>
    </x:row>
    <x:row r="110">
      <x:c r="A110" s="15" t="str">
        <x:v>P7-004</x:v>
      </x:c>
      <x:c r="B110" s="15" t="str">
        <x:v>P7</x:v>
      </x:c>
      <x:c r="C110" s="15" t="str">
        <x:v>Cognitive Governor</x:v>
      </x:c>
      <x:c r="D110" s="15" t="str">
        <x:v>Trust</x:v>
      </x:c>
      <x:c r="E110" s="15" t="str">
        <x:v>Implement contextual capability/trust score by mission class</x:v>
      </x:c>
      <x:c r="F110" s="15" t="str">
        <x:v>Build</x:v>
      </x:c>
      <x:c r="G110" s="15" t="str">
        <x:v>P0</x:v>
      </x:c>
      <x:c r="H110" s="15" t="str">
        <x:v>ML Engineer</x:v>
      </x:c>
      <x:c r="I110" s="15" t="str">
        <x:v>Not Started</x:v>
      </x:c>
      <x:c r="J110" s="15" t="n">
        <x:v>2</x:v>
      </x:c>
      <x:c r="K110" s="15" t="str"/>
      <x:c r="L110" s="15" t="str">
        <x:v>Automated test, reviewed artifact or benchmark demonstrates the defined contract.</x:v>
      </x:c>
      <x:c r="M110" s="15" t="str">
        <x:v>Project/Issue</x:v>
      </x:c>
      <x:c r="N110" s="15" t="str">
        <x:v>Cell can update</x:v>
      </x:c>
      <x:c r="O110" s="15" t="str">
        <x:v>Test + artifact</x:v>
      </x:c>
    </x:row>
    <x:row r="111">
      <x:c r="A111" s="15" t="str">
        <x:v>P7-005</x:v>
      </x:c>
      <x:c r="B111" s="15" t="str">
        <x:v>P7</x:v>
      </x:c>
      <x:c r="C111" s="15" t="str">
        <x:v>Cognitive Governor</x:v>
      </x:c>
      <x:c r="D111" s="15" t="str">
        <x:v>Disagreement</x:v>
      </x:c>
      <x:c r="E111" s="15" t="str">
        <x:v>Implement disagreement detector and targeted verification trigger</x:v>
      </x:c>
      <x:c r="F111" s="15" t="str">
        <x:v>Build</x:v>
      </x:c>
      <x:c r="G111" s="15" t="str">
        <x:v>P0</x:v>
      </x:c>
      <x:c r="H111" s="15" t="str">
        <x:v>AI Engineer</x:v>
      </x:c>
      <x:c r="I111" s="15" t="str">
        <x:v>Not Started</x:v>
      </x:c>
      <x:c r="J111" s="15" t="n">
        <x:v>3</x:v>
      </x:c>
      <x:c r="K111" s="15" t="str"/>
      <x:c r="L111" s="15" t="str">
        <x:v>Automated test, reviewed artifact or benchmark demonstrates the defined contract.</x:v>
      </x:c>
      <x:c r="M111" s="15" t="str">
        <x:v>Project/Issue</x:v>
      </x:c>
      <x:c r="N111" s="15" t="str">
        <x:v>Cell can update</x:v>
      </x:c>
      <x:c r="O111" s="15" t="str">
        <x:v>Test + artifact</x:v>
      </x:c>
    </x:row>
    <x:row r="112">
      <x:c r="A112" s="15" t="str">
        <x:v>P7-006</x:v>
      </x:c>
      <x:c r="B112" s="15" t="str">
        <x:v>P7</x:v>
      </x:c>
      <x:c r="C112" s="15" t="str">
        <x:v>Cognitive Governor</x:v>
      </x:c>
      <x:c r="D112" s="15" t="str">
        <x:v>Formation</x:v>
      </x:c>
      <x:c r="E112" s="15" t="str">
        <x:v>Define formation catalog schema: solo, pipeline, swarm, council, command, hybrid, elastic</x:v>
      </x:c>
      <x:c r="F112" s="15" t="str">
        <x:v>Build</x:v>
      </x:c>
      <x:c r="G112" s="15" t="str">
        <x:v>P0</x:v>
      </x:c>
      <x:c r="H112" s="15" t="str">
        <x:v>Agent Architect</x:v>
      </x:c>
      <x:c r="I112" s="15" t="str">
        <x:v>Not Started</x:v>
      </x:c>
      <x:c r="J112" s="15" t="n">
        <x:v>4</x:v>
      </x:c>
      <x:c r="K112" s="15" t="str"/>
      <x:c r="L112" s="15" t="str">
        <x:v>Automated test, reviewed artifact or benchmark demonstrates the defined contract.</x:v>
      </x:c>
      <x:c r="M112" s="15" t="str">
        <x:v>Project/Issue</x:v>
      </x:c>
      <x:c r="N112" s="15" t="str">
        <x:v>Cell can update</x:v>
      </x:c>
      <x:c r="O112" s="15" t="str">
        <x:v>Test + artifact</x:v>
      </x:c>
    </x:row>
    <x:row r="113">
      <x:c r="A113" s="15" t="str">
        <x:v>P7-007</x:v>
      </x:c>
      <x:c r="B113" s="15" t="str">
        <x:v>P7</x:v>
      </x:c>
      <x:c r="C113" s="15" t="str">
        <x:v>Cognitive Governor</x:v>
      </x:c>
      <x:c r="D113" s="15" t="str">
        <x:v>Formation</x:v>
      </x:c>
      <x:c r="E113" s="15" t="str">
        <x:v>Implement formation recommendation rules v0</x:v>
      </x:c>
      <x:c r="F113" s="15" t="str">
        <x:v>Build</x:v>
      </x:c>
      <x:c r="G113" s="15" t="str">
        <x:v>P0</x:v>
      </x:c>
      <x:c r="H113" s="15" t="str">
        <x:v>Agent Architect</x:v>
      </x:c>
      <x:c r="I113" s="15" t="str">
        <x:v>Not Started</x:v>
      </x:c>
      <x:c r="J113" s="15" t="n">
        <x:v>2</x:v>
      </x:c>
      <x:c r="K113" s="15" t="str"/>
      <x:c r="L113" s="15" t="str">
        <x:v>Automated test, reviewed artifact or benchmark demonstrates the defined contract.</x:v>
      </x:c>
      <x:c r="M113" s="15" t="str">
        <x:v>Project/Issue</x:v>
      </x:c>
      <x:c r="N113" s="15" t="str">
        <x:v>Cell can update</x:v>
      </x:c>
      <x:c r="O113" s="15" t="str">
        <x:v>Test + artifact</x:v>
      </x:c>
    </x:row>
    <x:row r="114">
      <x:c r="A114" s="15" t="str">
        <x:v>P7-008</x:v>
      </x:c>
      <x:c r="B114" s="15" t="str">
        <x:v>P7</x:v>
      </x:c>
      <x:c r="C114" s="15" t="str">
        <x:v>Cognitive Governor</x:v>
      </x:c>
      <x:c r="D114" s="15" t="str">
        <x:v>Formation</x:v>
      </x:c>
      <x:c r="E114" s="15" t="str">
        <x:v>Implement elastic Cell phase-transition proposal</x:v>
      </x:c>
      <x:c r="F114" s="15" t="str">
        <x:v>Build</x:v>
      </x:c>
      <x:c r="G114" s="15" t="str">
        <x:v>P0</x:v>
      </x:c>
      <x:c r="H114" s="15" t="str">
        <x:v>Agent Engineer</x:v>
      </x:c>
      <x:c r="I114" s="15" t="str">
        <x:v>Not Started</x:v>
      </x:c>
      <x:c r="J114" s="15" t="n">
        <x:v>3</x:v>
      </x:c>
      <x:c r="K114" s="15" t="str"/>
      <x:c r="L114" s="15" t="str">
        <x:v>Automated test, reviewed artifact or benchmark demonstrates the defined contract.</x:v>
      </x:c>
      <x:c r="M114" s="15" t="str">
        <x:v>Project/Issue</x:v>
      </x:c>
      <x:c r="N114" s="15" t="str">
        <x:v>Cell can update</x:v>
      </x:c>
      <x:c r="O114" s="15" t="str">
        <x:v>Test + artifact</x:v>
      </x:c>
    </x:row>
    <x:row r="115">
      <x:c r="A115" s="15" t="str">
        <x:v>P7-009</x:v>
      </x:c>
      <x:c r="B115" s="15" t="str">
        <x:v>P7</x:v>
      </x:c>
      <x:c r="C115" s="15" t="str">
        <x:v>Cognitive Governor</x:v>
      </x:c>
      <x:c r="D115" s="15" t="str">
        <x:v>Readiness</x:v>
      </x:c>
      <x:c r="E115" s="15" t="str">
        <x:v>Implement pre-mission capability/readiness assessment</x:v>
      </x:c>
      <x:c r="F115" s="15" t="str">
        <x:v>Build</x:v>
      </x:c>
      <x:c r="G115" s="15" t="str">
        <x:v>P0</x:v>
      </x:c>
      <x:c r="H115" s="15" t="str">
        <x:v>Agent Engineer</x:v>
      </x:c>
      <x:c r="I115" s="15" t="str">
        <x:v>Not Started</x:v>
      </x:c>
      <x:c r="J115" s="15" t="n">
        <x:v>4</x:v>
      </x:c>
      <x:c r="K115" s="15" t="str"/>
      <x:c r="L115" s="15" t="str">
        <x:v>Automated test, reviewed artifact or benchmark demonstrates the defined contract.</x:v>
      </x:c>
      <x:c r="M115" s="15" t="str">
        <x:v>Project/Issue</x:v>
      </x:c>
      <x:c r="N115" s="15" t="str">
        <x:v>Cell can update</x:v>
      </x:c>
      <x:c r="O115" s="15" t="str">
        <x:v>Test + artifact</x:v>
      </x:c>
    </x:row>
    <x:row r="116">
      <x:c r="A116" s="15" t="str">
        <x:v>P7-010</x:v>
      </x:c>
      <x:c r="B116" s="15" t="str">
        <x:v>P7</x:v>
      </x:c>
      <x:c r="C116" s="15" t="str">
        <x:v>Cognitive Governor</x:v>
      </x:c>
      <x:c r="D116" s="15" t="str">
        <x:v>Readiness</x:v>
      </x:c>
      <x:c r="E116" s="15" t="str">
        <x:v>Implement bounded last-minute skill-up/context preparation</x:v>
      </x:c>
      <x:c r="F116" s="15" t="str">
        <x:v>Build</x:v>
      </x:c>
      <x:c r="G116" s="15" t="str">
        <x:v>P0</x:v>
      </x:c>
      <x:c r="H116" s="15" t="str">
        <x:v>Agent Engineer</x:v>
      </x:c>
      <x:c r="I116" s="15" t="str">
        <x:v>Not Started</x:v>
      </x:c>
      <x:c r="J116" s="15" t="n">
        <x:v>2</x:v>
      </x:c>
      <x:c r="K116" s="15" t="str"/>
      <x:c r="L116" s="15" t="str">
        <x:v>Automated test, reviewed artifact or benchmark demonstrates the defined contract.</x:v>
      </x:c>
      <x:c r="M116" s="15" t="str">
        <x:v>Project/Issue</x:v>
      </x:c>
      <x:c r="N116" s="15" t="str">
        <x:v>Cell can update</x:v>
      </x:c>
      <x:c r="O116" s="15" t="str">
        <x:v>Test + artifact</x:v>
      </x:c>
    </x:row>
    <x:row r="117">
      <x:c r="A117" s="15" t="str">
        <x:v>P7-011</x:v>
      </x:c>
      <x:c r="B117" s="15" t="str">
        <x:v>P7</x:v>
      </x:c>
      <x:c r="C117" s="15" t="str">
        <x:v>Cognitive Governor</x:v>
      </x:c>
      <x:c r="D117" s="15" t="str">
        <x:v>Evaluation</x:v>
      </x:c>
      <x:c r="E117" s="15" t="str">
        <x:v>Build formation-selection evaluation corpus</x:v>
      </x:c>
      <x:c r="F117" s="15" t="str">
        <x:v>Build</x:v>
      </x:c>
      <x:c r="G117" s="15" t="str">
        <x:v>P1</x:v>
      </x:c>
      <x:c r="H117" s="15" t="str">
        <x:v>AI Research Engineer</x:v>
      </x:c>
      <x:c r="I117" s="15" t="str">
        <x:v>Not Started</x:v>
      </x:c>
      <x:c r="J117" s="15" t="n">
        <x:v>3</x:v>
      </x:c>
      <x:c r="K117" s="15" t="str"/>
      <x:c r="L117" s="15" t="str">
        <x:v>Automated test, reviewed artifact or benchmark demonstrates the defined contract.</x:v>
      </x:c>
      <x:c r="M117" s="15" t="str">
        <x:v>Project/Issue</x:v>
      </x:c>
      <x:c r="N117" s="15" t="str">
        <x:v>Cell can update</x:v>
      </x:c>
      <x:c r="O117" s="15" t="str">
        <x:v>Test + artifact</x:v>
      </x:c>
    </x:row>
    <x:row r="118">
      <x:c r="A118" s="15" t="str">
        <x:v>P7-012</x:v>
      </x:c>
      <x:c r="B118" s="15" t="str">
        <x:v>P7</x:v>
      </x:c>
      <x:c r="C118" s="15" t="str">
        <x:v>Cognitive Governor</x:v>
      </x:c>
      <x:c r="D118" s="15" t="str">
        <x:v>Observability</x:v>
      </x:c>
      <x:c r="E118" s="15" t="str">
        <x:v>Expose reasoning route, escalation reason and cost</x:v>
      </x:c>
      <x:c r="F118" s="15" t="str">
        <x:v>Build</x:v>
      </x:c>
      <x:c r="G118" s="15" t="str">
        <x:v>P1</x:v>
      </x:c>
      <x:c r="H118" s="15" t="str">
        <x:v>Frontend Engineer</x:v>
      </x:c>
      <x:c r="I118" s="15" t="str">
        <x:v>Not Started</x:v>
      </x:c>
      <x:c r="J118" s="15" t="n">
        <x:v>4</x:v>
      </x:c>
      <x:c r="K118" s="15" t="str"/>
      <x:c r="L118" s="15" t="str">
        <x:v>Automated test, reviewed artifact or benchmark demonstrates the defined contract.</x:v>
      </x:c>
      <x:c r="M118" s="15" t="str">
        <x:v>Project/Issue</x:v>
      </x:c>
      <x:c r="N118" s="15" t="str">
        <x:v>Cell can update</x:v>
      </x:c>
      <x:c r="O118" s="15" t="str">
        <x:v>Test + artifact</x:v>
      </x:c>
    </x:row>
    <x:row r="119">
      <x:c r="A119" s="15" t="str">
        <x:v>P7-013</x:v>
      </x:c>
      <x:c r="B119" s="15" t="str">
        <x:v>P7</x:v>
      </x:c>
      <x:c r="C119" s="15" t="str">
        <x:v>Cognitive Governor</x:v>
      </x:c>
      <x:c r="D119" s="15" t="str">
        <x:v>Research</x:v>
      </x:c>
      <x:c r="E119" s="15" t="str">
        <x:v>Study dynamic team-size / coordination-overhead predictors</x:v>
      </x:c>
      <x:c r="F119" s="15" t="str">
        <x:v>Research</x:v>
      </x:c>
      <x:c r="G119" s="15" t="str">
        <x:v>P1</x:v>
      </x:c>
      <x:c r="H119" s="15" t="str">
        <x:v>AI Research Engineer</x:v>
      </x:c>
      <x:c r="I119" s="15" t="str">
        <x:v>Not Started</x:v>
      </x:c>
      <x:c r="J119" s="15" t="n">
        <x:v>2</x:v>
      </x:c>
      <x:c r="K119" s="15" t="str"/>
      <x:c r="L119" s="15" t="str">
        <x:v>Automated test, reviewed artifact or benchmark demonstrates the defined contract.</x:v>
      </x:c>
      <x:c r="M119" s="15" t="str">
        <x:v>Project/Issue</x:v>
      </x:c>
      <x:c r="N119" s="15" t="str">
        <x:v>Cell can update</x:v>
      </x:c>
      <x:c r="O119" s="15" t="str">
        <x:v>Test + artifact</x:v>
      </x:c>
    </x:row>
    <x:row r="120">
      <x:c r="A120" s="15" t="str">
        <x:v>P8-001</x:v>
      </x:c>
      <x:c r="B120" s="15" t="str">
        <x:v>P8</x:v>
      </x:c>
      <x:c r="C120" s="15" t="str">
        <x:v>Evolution Chamber</x:v>
      </x:c>
      <x:c r="D120" s="15" t="str">
        <x:v>Shadow</x:v>
      </x:c>
      <x:c r="E120" s="15" t="str">
        <x:v>Implement read-only/sandboxed Shadow Cell fork</x:v>
      </x:c>
      <x:c r="F120" s="15" t="str">
        <x:v>Build</x:v>
      </x:c>
      <x:c r="G120" s="15" t="str">
        <x:v>P0</x:v>
      </x:c>
      <x:c r="H120" s="15" t="str">
        <x:v>Runtime Engineer</x:v>
      </x:c>
      <x:c r="I120" s="15" t="str">
        <x:v>Not Started</x:v>
      </x:c>
      <x:c r="J120" s="15" t="n">
        <x:v>2</x:v>
      </x:c>
      <x:c r="K120" s="15" t="str"/>
      <x:c r="L120" s="15" t="str">
        <x:v>Automated test, reviewed artifact or benchmark demonstrates the defined contract.</x:v>
      </x:c>
      <x:c r="M120" s="15" t="str">
        <x:v>Project/Issue</x:v>
      </x:c>
      <x:c r="N120" s="15" t="str">
        <x:v>Cell can update</x:v>
      </x:c>
      <x:c r="O120" s="15" t="str">
        <x:v>Test + artifact</x:v>
      </x:c>
    </x:row>
    <x:row r="121">
      <x:c r="A121" s="15" t="str">
        <x:v>P8-002</x:v>
      </x:c>
      <x:c r="B121" s="15" t="str">
        <x:v>P8</x:v>
      </x:c>
      <x:c r="C121" s="15" t="str">
        <x:v>Evolution Chamber</x:v>
      </x:c>
      <x:c r="D121" s="15" t="str">
        <x:v>Shadow</x:v>
      </x:c>
      <x:c r="E121" s="15" t="str">
        <x:v>Implement primary/shadow state snapshot contract</x:v>
      </x:c>
      <x:c r="F121" s="15" t="str">
        <x:v>Build</x:v>
      </x:c>
      <x:c r="G121" s="15" t="str">
        <x:v>P0</x:v>
      </x:c>
      <x:c r="H121" s="15" t="str">
        <x:v>Runtime Engineer</x:v>
      </x:c>
      <x:c r="I121" s="15" t="str">
        <x:v>Not Started</x:v>
      </x:c>
      <x:c r="J121" s="15" t="n">
        <x:v>3</x:v>
      </x:c>
      <x:c r="K121" s="15" t="str"/>
      <x:c r="L121" s="15" t="str">
        <x:v>Automated test, reviewed artifact or benchmark demonstrates the defined contract.</x:v>
      </x:c>
      <x:c r="M121" s="15" t="str">
        <x:v>Project/Issue</x:v>
      </x:c>
      <x:c r="N121" s="15" t="str">
        <x:v>Cell can update</x:v>
      </x:c>
      <x:c r="O121" s="15" t="str">
        <x:v>Test + artifact</x:v>
      </x:c>
    </x:row>
    <x:row r="122">
      <x:c r="A122" s="15" t="str">
        <x:v>P8-003</x:v>
      </x:c>
      <x:c r="B122" s="15" t="str">
        <x:v>P8</x:v>
      </x:c>
      <x:c r="C122" s="15" t="str">
        <x:v>Evolution Chamber</x:v>
      </x:c>
      <x:c r="D122" s="15" t="str">
        <x:v>Shadow</x:v>
      </x:c>
      <x:c r="E122" s="15" t="str">
        <x:v>Prevent production side effects from shadow capabilities</x:v>
      </x:c>
      <x:c r="F122" s="15" t="str">
        <x:v>Build</x:v>
      </x:c>
      <x:c r="G122" s="15" t="str">
        <x:v>P0</x:v>
      </x:c>
      <x:c r="H122" s="15" t="str">
        <x:v>Security Engineer</x:v>
      </x:c>
      <x:c r="I122" s="15" t="str">
        <x:v>Not Started</x:v>
      </x:c>
      <x:c r="J122" s="15" t="n">
        <x:v>4</x:v>
      </x:c>
      <x:c r="K122" s="15" t="str"/>
      <x:c r="L122" s="15" t="str">
        <x:v>Automated test, reviewed artifact or benchmark demonstrates the defined contract.</x:v>
      </x:c>
      <x:c r="M122" s="15" t="str">
        <x:v>Project/Issue</x:v>
      </x:c>
      <x:c r="N122" s="15" t="str">
        <x:v>Cell can update</x:v>
      </x:c>
      <x:c r="O122" s="15" t="str">
        <x:v>Test + artifact</x:v>
      </x:c>
    </x:row>
    <x:row r="123">
      <x:c r="A123" s="15" t="str">
        <x:v>P8-004</x:v>
      </x:c>
      <x:c r="B123" s="15" t="str">
        <x:v>P8</x:v>
      </x:c>
      <x:c r="C123" s="15" t="str">
        <x:v>Evolution Chamber</x:v>
      </x:c>
      <x:c r="D123" s="15" t="str">
        <x:v>Experiments</x:v>
      </x:c>
      <x:c r="E123" s="15" t="str">
        <x:v>Implement experiment registry with hypotheses and variables</x:v>
      </x:c>
      <x:c r="F123" s="15" t="str">
        <x:v>Build</x:v>
      </x:c>
      <x:c r="G123" s="15" t="str">
        <x:v>P0</x:v>
      </x:c>
      <x:c r="H123" s="15" t="str">
        <x:v>AI Research Engineer</x:v>
      </x:c>
      <x:c r="I123" s="15" t="str">
        <x:v>Not Started</x:v>
      </x:c>
      <x:c r="J123" s="15" t="n">
        <x:v>2</x:v>
      </x:c>
      <x:c r="K123" s="15" t="str"/>
      <x:c r="L123" s="15" t="str">
        <x:v>Automated test, reviewed artifact or benchmark demonstrates the defined contract.</x:v>
      </x:c>
      <x:c r="M123" s="15" t="str">
        <x:v>Project/Issue</x:v>
      </x:c>
      <x:c r="N123" s="15" t="str">
        <x:v>Cell can update</x:v>
      </x:c>
      <x:c r="O123" s="15" t="str">
        <x:v>Test + artifact</x:v>
      </x:c>
    </x:row>
    <x:row r="124">
      <x:c r="A124" s="15" t="str">
        <x:v>P8-005</x:v>
      </x:c>
      <x:c r="B124" s="15" t="str">
        <x:v>P8</x:v>
      </x:c>
      <x:c r="C124" s="15" t="str">
        <x:v>Evolution Chamber</x:v>
      </x:c>
      <x:c r="D124" s="15" t="str">
        <x:v>Experiments</x:v>
      </x:c>
      <x:c r="E124" s="15" t="str">
        <x:v>Implement candidate Cell Image version generation</x:v>
      </x:c>
      <x:c r="F124" s="15" t="str">
        <x:v>Build</x:v>
      </x:c>
      <x:c r="G124" s="15" t="str">
        <x:v>P0</x:v>
      </x:c>
      <x:c r="H124" s="15" t="str">
        <x:v>Agent Engineer</x:v>
      </x:c>
      <x:c r="I124" s="15" t="str">
        <x:v>Not Started</x:v>
      </x:c>
      <x:c r="J124" s="15" t="n">
        <x:v>3</x:v>
      </x:c>
      <x:c r="K124" s="15" t="str"/>
      <x:c r="L124" s="15" t="str">
        <x:v>Automated test, reviewed artifact or benchmark demonstrates the defined contract.</x:v>
      </x:c>
      <x:c r="M124" s="15" t="str">
        <x:v>Project/Issue</x:v>
      </x:c>
      <x:c r="N124" s="15" t="str">
        <x:v>Cell can update</x:v>
      </x:c>
      <x:c r="O124" s="15" t="str">
        <x:v>Test + artifact</x:v>
      </x:c>
    </x:row>
    <x:row r="125">
      <x:c r="A125" s="15" t="str">
        <x:v>P8-006</x:v>
      </x:c>
      <x:c r="B125" s="15" t="str">
        <x:v>P8</x:v>
      </x:c>
      <x:c r="C125" s="15" t="str">
        <x:v>Evolution Chamber</x:v>
      </x:c>
      <x:c r="D125" s="15" t="str">
        <x:v>Evaluation</x:v>
      </x:c>
      <x:c r="E125" s="15" t="str">
        <x:v>Implement matched-mission comparison runner</x:v>
      </x:c>
      <x:c r="F125" s="15" t="str">
        <x:v>Build</x:v>
      </x:c>
      <x:c r="G125" s="15" t="str">
        <x:v>P0</x:v>
      </x:c>
      <x:c r="H125" s="15" t="str">
        <x:v>QA Engineer</x:v>
      </x:c>
      <x:c r="I125" s="15" t="str">
        <x:v>Not Started</x:v>
      </x:c>
      <x:c r="J125" s="15" t="n">
        <x:v>4</x:v>
      </x:c>
      <x:c r="K125" s="15" t="str"/>
      <x:c r="L125" s="15" t="str">
        <x:v>Automated test, reviewed artifact or benchmark demonstrates the defined contract.</x:v>
      </x:c>
      <x:c r="M125" s="15" t="str">
        <x:v>Project/Issue</x:v>
      </x:c>
      <x:c r="N125" s="15" t="str">
        <x:v>Cell can update</x:v>
      </x:c>
      <x:c r="O125" s="15" t="str">
        <x:v>Test + artifact</x:v>
      </x:c>
    </x:row>
    <x:row r="126">
      <x:c r="A126" s="15" t="str">
        <x:v>P8-007</x:v>
      </x:c>
      <x:c r="B126" s="15" t="str">
        <x:v>P8</x:v>
      </x:c>
      <x:c r="C126" s="15" t="str">
        <x:v>Evolution Chamber</x:v>
      </x:c>
      <x:c r="D126" s="15" t="str">
        <x:v>Metrics</x:v>
      </x:c>
      <x:c r="E126" s="15" t="str">
        <x:v>Implement outcome/cost/time/rework/intervention/evidence metrics</x:v>
      </x:c>
      <x:c r="F126" s="15" t="str">
        <x:v>Build</x:v>
      </x:c>
      <x:c r="G126" s="15" t="str">
        <x:v>P0</x:v>
      </x:c>
      <x:c r="H126" s="15" t="str">
        <x:v>Data Engineer</x:v>
      </x:c>
      <x:c r="I126" s="15" t="str">
        <x:v>Not Started</x:v>
      </x:c>
      <x:c r="J126" s="15" t="n">
        <x:v>2</x:v>
      </x:c>
      <x:c r="K126" s="15" t="str"/>
      <x:c r="L126" s="15" t="str">
        <x:v>Automated test, reviewed artifact or benchmark demonstrates the defined contract.</x:v>
      </x:c>
      <x:c r="M126" s="15" t="str">
        <x:v>Project/Issue</x:v>
      </x:c>
      <x:c r="N126" s="15" t="str">
        <x:v>Cell can update</x:v>
      </x:c>
      <x:c r="O126" s="15" t="str">
        <x:v>Test + artifact</x:v>
      </x:c>
    </x:row>
    <x:row r="127">
      <x:c r="A127" s="15" t="str">
        <x:v>P8-008</x:v>
      </x:c>
      <x:c r="B127" s="15" t="str">
        <x:v>P8</x:v>
      </x:c>
      <x:c r="C127" s="15" t="str">
        <x:v>Evolution Chamber</x:v>
      </x:c>
      <x:c r="D127" s="15" t="str">
        <x:v>Metrics</x:v>
      </x:c>
      <x:c r="E127" s="15" t="str">
        <x:v>Implement Pareto frontier calculation and visualization</x:v>
      </x:c>
      <x:c r="F127" s="15" t="str">
        <x:v>Build</x:v>
      </x:c>
      <x:c r="G127" s="15" t="str">
        <x:v>P0</x:v>
      </x:c>
      <x:c r="H127" s="15" t="str">
        <x:v>ML Engineer</x:v>
      </x:c>
      <x:c r="I127" s="15" t="str">
        <x:v>Not Started</x:v>
      </x:c>
      <x:c r="J127" s="15" t="n">
        <x:v>3</x:v>
      </x:c>
      <x:c r="K127" s="15" t="str"/>
      <x:c r="L127" s="15" t="str">
        <x:v>Automated test, reviewed artifact or benchmark demonstrates the defined contract.</x:v>
      </x:c>
      <x:c r="M127" s="15" t="str">
        <x:v>Project/Issue</x:v>
      </x:c>
      <x:c r="N127" s="15" t="str">
        <x:v>Cell can update</x:v>
      </x:c>
      <x:c r="O127" s="15" t="str">
        <x:v>Test + artifact</x:v>
      </x:c>
    </x:row>
    <x:row r="128">
      <x:c r="A128" s="15" t="str">
        <x:v>P8-009</x:v>
      </x:c>
      <x:c r="B128" s="15" t="str">
        <x:v>P8</x:v>
      </x:c>
      <x:c r="C128" s="15" t="str">
        <x:v>Evolution Chamber</x:v>
      </x:c>
      <x:c r="D128" s="15" t="str">
        <x:v>Promotion</x:v>
      </x:c>
      <x:c r="E128" s="15" t="str">
        <x:v>Implement experimental -&gt; candidate -&gt; certified promotion gate</x:v>
      </x:c>
      <x:c r="F128" s="15" t="str">
        <x:v>Build</x:v>
      </x:c>
      <x:c r="G128" s="15" t="str">
        <x:v>P0</x:v>
      </x:c>
      <x:c r="H128" s="15" t="str">
        <x:v>Platform Engineer</x:v>
      </x:c>
      <x:c r="I128" s="15" t="str">
        <x:v>Not Started</x:v>
      </x:c>
      <x:c r="J128" s="15" t="n">
        <x:v>4</x:v>
      </x:c>
      <x:c r="K128" s="15" t="str"/>
      <x:c r="L128" s="15" t="str">
        <x:v>Automated test, reviewed artifact or benchmark demonstrates the defined contract.</x:v>
      </x:c>
      <x:c r="M128" s="15" t="str">
        <x:v>Project/Issue</x:v>
      </x:c>
      <x:c r="N128" s="15" t="str">
        <x:v>Cell can update</x:v>
      </x:c>
      <x:c r="O128" s="15" t="str">
        <x:v>Test + artifact</x:v>
      </x:c>
    </x:row>
    <x:row r="129">
      <x:c r="A129" s="15" t="str">
        <x:v>P8-010</x:v>
      </x:c>
      <x:c r="B129" s="15" t="str">
        <x:v>P8</x:v>
      </x:c>
      <x:c r="C129" s="15" t="str">
        <x:v>Evolution Chamber</x:v>
      </x:c>
      <x:c r="D129" s="15" t="str">
        <x:v>Holdouts</x:v>
      </x:c>
      <x:c r="E129" s="15" t="str">
        <x:v>Implement holdout mission sets and contamination controls</x:v>
      </x:c>
      <x:c r="F129" s="15" t="str">
        <x:v>Build</x:v>
      </x:c>
      <x:c r="G129" s="15" t="str">
        <x:v>P0</x:v>
      </x:c>
      <x:c r="H129" s="15" t="str">
        <x:v>QA Engineer</x:v>
      </x:c>
      <x:c r="I129" s="15" t="str">
        <x:v>Not Started</x:v>
      </x:c>
      <x:c r="J129" s="15" t="n">
        <x:v>2</x:v>
      </x:c>
      <x:c r="K129" s="15" t="str"/>
      <x:c r="L129" s="15" t="str">
        <x:v>Automated test, reviewed artifact or benchmark demonstrates the defined contract.</x:v>
      </x:c>
      <x:c r="M129" s="15" t="str">
        <x:v>Project/Issue</x:v>
      </x:c>
      <x:c r="N129" s="15" t="str">
        <x:v>Cell can update</x:v>
      </x:c>
      <x:c r="O129" s="15" t="str">
        <x:v>Test + artifact</x:v>
      </x:c>
    </x:row>
    <x:row r="130">
      <x:c r="A130" s="15" t="str">
        <x:v>P8-011</x:v>
      </x:c>
      <x:c r="B130" s="15" t="str">
        <x:v>P8</x:v>
      </x:c>
      <x:c r="C130" s="15" t="str">
        <x:v>Evolution Chamber</x:v>
      </x:c>
      <x:c r="D130" s="15" t="str">
        <x:v>Anti-Goodhart</x:v>
      </x:c>
      <x:c r="E130" s="15" t="str">
        <x:v>Require mission-level evidence and regression constraints</x:v>
      </x:c>
      <x:c r="F130" s="15" t="str">
        <x:v>Research</x:v>
      </x:c>
      <x:c r="G130" s="15" t="str">
        <x:v>P0</x:v>
      </x:c>
      <x:c r="H130" s="15" t="str">
        <x:v>AI Research Engineer</x:v>
      </x:c>
      <x:c r="I130" s="15" t="str">
        <x:v>Not Started</x:v>
      </x:c>
      <x:c r="J130" s="15" t="n">
        <x:v>3</x:v>
      </x:c>
      <x:c r="K130" s="15" t="str"/>
      <x:c r="L130" s="15" t="str">
        <x:v>Automated test, reviewed artifact or benchmark demonstrates the defined contract.</x:v>
      </x:c>
      <x:c r="M130" s="15" t="str">
        <x:v>Project/Issue</x:v>
      </x:c>
      <x:c r="N130" s="15" t="str">
        <x:v>Cell can update</x:v>
      </x:c>
      <x:c r="O130" s="15" t="str">
        <x:v>Test + artifact</x:v>
      </x:c>
    </x:row>
    <x:row r="131">
      <x:c r="A131" s="15" t="str">
        <x:v>P8-012</x:v>
      </x:c>
      <x:c r="B131" s="15" t="str">
        <x:v>P8</x:v>
      </x:c>
      <x:c r="C131" s="15" t="str">
        <x:v>Evolution Chamber</x:v>
      </x:c>
      <x:c r="D131" s="15" t="str">
        <x:v>Meta-tools</x:v>
      </x:c>
      <x:c r="E131" s="15" t="str">
        <x:v>Mine repeated stable traces into deterministic meta-tool candidates</x:v>
      </x:c>
      <x:c r="F131" s="15" t="str">
        <x:v>Build</x:v>
      </x:c>
      <x:c r="G131" s="15" t="str">
        <x:v>P1</x:v>
      </x:c>
      <x:c r="H131" s="15" t="str">
        <x:v>AI Research Engineer</x:v>
      </x:c>
      <x:c r="I131" s="15" t="str">
        <x:v>Not Started</x:v>
      </x:c>
      <x:c r="J131" s="15" t="n">
        <x:v>4</x:v>
      </x:c>
      <x:c r="K131" s="15" t="str"/>
      <x:c r="L131" s="15" t="str">
        <x:v>Automated test, reviewed artifact or benchmark demonstrates the defined contract.</x:v>
      </x:c>
      <x:c r="M131" s="15" t="str">
        <x:v>Project/Issue</x:v>
      </x:c>
      <x:c r="N131" s="15" t="str">
        <x:v>Cell can update</x:v>
      </x:c>
      <x:c r="O131" s="15" t="str">
        <x:v>Test + artifact</x:v>
      </x:c>
    </x:row>
    <x:row r="132">
      <x:c r="A132" s="15" t="str">
        <x:v>P8-013</x:v>
      </x:c>
      <x:c r="B132" s="15" t="str">
        <x:v>P8</x:v>
      </x:c>
      <x:c r="C132" s="15" t="str">
        <x:v>Evolution Chamber</x:v>
      </x:c>
      <x:c r="D132" s="15" t="str">
        <x:v>Meta-tools</x:v>
      </x:c>
      <x:c r="E132" s="15" t="str">
        <x:v>Build human-reviewed deterministic compilation flow</x:v>
      </x:c>
      <x:c r="F132" s="15" t="str">
        <x:v>Build</x:v>
      </x:c>
      <x:c r="G132" s="15" t="str">
        <x:v>P1</x:v>
      </x:c>
      <x:c r="H132" s="15" t="str">
        <x:v>Platform Engineer</x:v>
      </x:c>
      <x:c r="I132" s="15" t="str">
        <x:v>Not Started</x:v>
      </x:c>
      <x:c r="J132" s="15" t="n">
        <x:v>2</x:v>
      </x:c>
      <x:c r="K132" s="15" t="str"/>
      <x:c r="L132" s="15" t="str">
        <x:v>Automated test, reviewed artifact or benchmark demonstrates the defined contract.</x:v>
      </x:c>
      <x:c r="M132" s="15" t="str">
        <x:v>Project/Issue</x:v>
      </x:c>
      <x:c r="N132" s="15" t="str">
        <x:v>Cell can update</x:v>
      </x:c>
      <x:c r="O132" s="15" t="str">
        <x:v>Test + artifact</x:v>
      </x:c>
    </x:row>
    <x:row r="133">
      <x:c r="A133" s="15" t="str">
        <x:v>P8-014</x:v>
      </x:c>
      <x:c r="B133" s="15" t="str">
        <x:v>P8</x:v>
      </x:c>
      <x:c r="C133" s="15" t="str">
        <x:v>Evolution Chamber</x:v>
      </x:c>
      <x:c r="D133" s="15" t="str">
        <x:v>UX</x:v>
      </x:c>
      <x:c r="E133" s="15" t="str">
        <x:v>Build Evolution Chamber experiment/tournament UI</x:v>
      </x:c>
      <x:c r="F133" s="15" t="str">
        <x:v>Build</x:v>
      </x:c>
      <x:c r="G133" s="15" t="str">
        <x:v>P1</x:v>
      </x:c>
      <x:c r="H133" s="15" t="str">
        <x:v>Frontend Engineer</x:v>
      </x:c>
      <x:c r="I133" s="15" t="str">
        <x:v>Not Started</x:v>
      </x:c>
      <x:c r="J133" s="15" t="n">
        <x:v>3</x:v>
      </x:c>
      <x:c r="K133" s="15" t="str"/>
      <x:c r="L133" s="15" t="str">
        <x:v>Automated test, reviewed artifact or benchmark demonstrates the defined contract.</x:v>
      </x:c>
      <x:c r="M133" s="15" t="str">
        <x:v>Project/Issue</x:v>
      </x:c>
      <x:c r="N133" s="15" t="str">
        <x:v>Cell can update</x:v>
      </x:c>
      <x:c r="O133" s="15" t="str">
        <x:v>Test + artifact</x:v>
      </x:c>
    </x:row>
    <x:row r="134">
      <x:c r="A134" s="15" t="str">
        <x:v>P8-015</x:v>
      </x:c>
      <x:c r="B134" s="15" t="str">
        <x:v>P8</x:v>
      </x:c>
      <x:c r="C134" s="15" t="str">
        <x:v>Evolution Chamber</x:v>
      </x:c>
      <x:c r="D134" s="15" t="str">
        <x:v>Research</x:v>
      </x:c>
      <x:c r="E134" s="15" t="str">
        <x:v>Test organizational genome mutations in replay only</x:v>
      </x:c>
      <x:c r="F134" s="15" t="str">
        <x:v>Research</x:v>
      </x:c>
      <x:c r="G134" s="15" t="str">
        <x:v>P1</x:v>
      </x:c>
      <x:c r="H134" s="15" t="str">
        <x:v>AI Research Engineer</x:v>
      </x:c>
      <x:c r="I134" s="15" t="str">
        <x:v>Not Started</x:v>
      </x:c>
      <x:c r="J134" s="15" t="n">
        <x:v>4</x:v>
      </x:c>
      <x:c r="K134" s="15" t="str"/>
      <x:c r="L134" s="15" t="str">
        <x:v>Automated test, reviewed artifact or benchmark demonstrates the defined contract.</x:v>
      </x:c>
      <x:c r="M134" s="15" t="str">
        <x:v>Project/Issue</x:v>
      </x:c>
      <x:c r="N134" s="15" t="str">
        <x:v>Cell can update</x:v>
      </x:c>
      <x:c r="O134" s="15" t="str">
        <x:v>Test + artifact</x:v>
      </x:c>
    </x:row>
    <x:row r="135">
      <x:c r="A135" s="15" t="str">
        <x:v>P9-001</x:v>
      </x:c>
      <x:c r="B135" s="15" t="str">
        <x:v>P9</x:v>
      </x:c>
      <x:c r="C135" s="15" t="str">
        <x:v>External Work Integrations</x:v>
      </x:c>
      <x:c r="D135" s="15" t="str">
        <x:v>Linear</x:v>
      </x:c>
      <x:c r="E135" s="15" t="str">
        <x:v>Define Linear entity mapping: Initiative/Project/Issue/Subissue/Cycle -&gt; WorkGraph projection</x:v>
      </x:c>
      <x:c r="F135" s="15" t="str">
        <x:v>Build</x:v>
      </x:c>
      <x:c r="G135" s="15" t="str">
        <x:v>P0</x:v>
      </x:c>
      <x:c r="H135" s="15" t="str">
        <x:v>Integration Engineer</x:v>
      </x:c>
      <x:c r="I135" s="15" t="str">
        <x:v>Not Started</x:v>
      </x:c>
      <x:c r="J135" s="15" t="n">
        <x:v>2</x:v>
      </x:c>
      <x:c r="K135" s="15" t="str"/>
      <x:c r="L135" s="15" t="str">
        <x:v>External tracker remains a synchronized projection; CELL OS authority/evidence semantics are preserved.</x:v>
      </x:c>
      <x:c r="M135" s="15" t="str">
        <x:v>Project/Issue</x:v>
      </x:c>
      <x:c r="N135" s="15" t="str">
        <x:v>Cell can update</x:v>
      </x:c>
      <x:c r="O135" s="15" t="str">
        <x:v>Test + artifact</x:v>
      </x:c>
    </x:row>
    <x:row r="136">
      <x:c r="A136" s="15" t="str">
        <x:v>P9-002</x:v>
      </x:c>
      <x:c r="B136" s="15" t="str">
        <x:v>P9</x:v>
      </x:c>
      <x:c r="C136" s="15" t="str">
        <x:v>External Work Integrations</x:v>
      </x:c>
      <x:c r="D136" s="15" t="str">
        <x:v>Linear</x:v>
      </x:c>
      <x:c r="E136" s="15" t="str">
        <x:v>Implement OAuth/API client and scoped credentials</x:v>
      </x:c>
      <x:c r="F136" s="15" t="str">
        <x:v>Build</x:v>
      </x:c>
      <x:c r="G136" s="15" t="str">
        <x:v>P0</x:v>
      </x:c>
      <x:c r="H136" s="15" t="str">
        <x:v>Integration Engineer</x:v>
      </x:c>
      <x:c r="I136" s="15" t="str">
        <x:v>Not Started</x:v>
      </x:c>
      <x:c r="J136" s="15" t="n">
        <x:v>3</x:v>
      </x:c>
      <x:c r="K136" s="15" t="str"/>
      <x:c r="L136" s="15" t="str">
        <x:v>External tracker remains a synchronized projection; CELL OS authority/evidence semantics are preserved.</x:v>
      </x:c>
      <x:c r="M136" s="15" t="str">
        <x:v>Project/Issue</x:v>
      </x:c>
      <x:c r="N136" s="15" t="str">
        <x:v>Cell can update</x:v>
      </x:c>
      <x:c r="O136" s="15" t="str">
        <x:v>Test + artifact</x:v>
      </x:c>
    </x:row>
    <x:row r="137">
      <x:c r="A137" s="15" t="str">
        <x:v>P9-003</x:v>
      </x:c>
      <x:c r="B137" s="15" t="str">
        <x:v>P9</x:v>
      </x:c>
      <x:c r="C137" s="15" t="str">
        <x:v>External Work Integrations</x:v>
      </x:c>
      <x:c r="D137" s="15" t="str">
        <x:v>Linear</x:v>
      </x:c>
      <x:c r="E137" s="15" t="str">
        <x:v>Ingest Linear webhooks idempotently</x:v>
      </x:c>
      <x:c r="F137" s="15" t="str">
        <x:v>Build</x:v>
      </x:c>
      <x:c r="G137" s="15" t="str">
        <x:v>P0</x:v>
      </x:c>
      <x:c r="H137" s="15" t="str">
        <x:v>Integration Engineer</x:v>
      </x:c>
      <x:c r="I137" s="15" t="str">
        <x:v>Not Started</x:v>
      </x:c>
      <x:c r="J137" s="15" t="n">
        <x:v>4</x:v>
      </x:c>
      <x:c r="K137" s="15" t="str"/>
      <x:c r="L137" s="15" t="str">
        <x:v>External tracker remains a synchronized projection; CELL OS authority/evidence semantics are preserved.</x:v>
      </x:c>
      <x:c r="M137" s="15" t="str">
        <x:v>Project/Issue</x:v>
      </x:c>
      <x:c r="N137" s="15" t="str">
        <x:v>Cell can update</x:v>
      </x:c>
      <x:c r="O137" s="15" t="str">
        <x:v>Test + artifact</x:v>
      </x:c>
    </x:row>
    <x:row r="138">
      <x:c r="A138" s="15" t="str">
        <x:v>P9-004</x:v>
      </x:c>
      <x:c r="B138" s="15" t="str">
        <x:v>P9</x:v>
      </x:c>
      <x:c r="C138" s="15" t="str">
        <x:v>External Work Integrations</x:v>
      </x:c>
      <x:c r="D138" s="15" t="str">
        <x:v>Linear</x:v>
      </x:c>
      <x:c r="E138" s="15" t="str">
        <x:v>Sync CELL OS mission/ticket status to Linear issue/project updates</x:v>
      </x:c>
      <x:c r="F138" s="15" t="str">
        <x:v>Build</x:v>
      </x:c>
      <x:c r="G138" s="15" t="str">
        <x:v>P0</x:v>
      </x:c>
      <x:c r="H138" s="15" t="str">
        <x:v>Integration Engineer</x:v>
      </x:c>
      <x:c r="I138" s="15" t="str">
        <x:v>Not Started</x:v>
      </x:c>
      <x:c r="J138" s="15" t="n">
        <x:v>2</x:v>
      </x:c>
      <x:c r="K138" s="15" t="str"/>
      <x:c r="L138" s="15" t="str">
        <x:v>External tracker remains a synchronized projection; CELL OS authority/evidence semantics are preserved.</x:v>
      </x:c>
      <x:c r="M138" s="15" t="str">
        <x:v>Project/Issue</x:v>
      </x:c>
      <x:c r="N138" s="15" t="str">
        <x:v>Cell can update</x:v>
      </x:c>
      <x:c r="O138" s="15" t="str">
        <x:v>Test + artifact</x:v>
      </x:c>
    </x:row>
    <x:row r="139">
      <x:c r="A139" s="15" t="str">
        <x:v>P9-005</x:v>
      </x:c>
      <x:c r="B139" s="15" t="str">
        <x:v>P9</x:v>
      </x:c>
      <x:c r="C139" s="15" t="str">
        <x:v>External Work Integrations</x:v>
      </x:c>
      <x:c r="D139" s="15" t="str">
        <x:v>Linear</x:v>
      </x:c>
      <x:c r="E139" s="15" t="str">
        <x:v>Sync Linear-created issues into authorized WorkGraph namespaces</x:v>
      </x:c>
      <x:c r="F139" s="15" t="str">
        <x:v>Build</x:v>
      </x:c>
      <x:c r="G139" s="15" t="str">
        <x:v>P0</x:v>
      </x:c>
      <x:c r="H139" s="15" t="str">
        <x:v>Integration Engineer</x:v>
      </x:c>
      <x:c r="I139" s="15" t="str">
        <x:v>Not Started</x:v>
      </x:c>
      <x:c r="J139" s="15" t="n">
        <x:v>3</x:v>
      </x:c>
      <x:c r="K139" s="15" t="str"/>
      <x:c r="L139" s="15" t="str">
        <x:v>External tracker remains a synchronized projection; CELL OS authority/evidence semantics are preserved.</x:v>
      </x:c>
      <x:c r="M139" s="15" t="str">
        <x:v>Project/Issue</x:v>
      </x:c>
      <x:c r="N139" s="15" t="str">
        <x:v>Cell can update</x:v>
      </x:c>
      <x:c r="O139" s="15" t="str">
        <x:v>Test + artifact</x:v>
      </x:c>
    </x:row>
    <x:row r="140">
      <x:c r="A140" s="15" t="str">
        <x:v>P9-006</x:v>
      </x:c>
      <x:c r="B140" s="15" t="str">
        <x:v>P9</x:v>
      </x:c>
      <x:c r="C140" s="15" t="str">
        <x:v>External Work Integrations</x:v>
      </x:c>
      <x:c r="D140" s="15" t="str">
        <x:v>Linear</x:v>
      </x:c>
      <x:c r="E140" s="15" t="str">
        <x:v>Preserve human accountability when work is delegated to Cells</x:v>
      </x:c>
      <x:c r="F140" s="15" t="str">
        <x:v>Build</x:v>
      </x:c>
      <x:c r="G140" s="15" t="str">
        <x:v>P0</x:v>
      </x:c>
      <x:c r="H140" s="15" t="str">
        <x:v>Product Engineer</x:v>
      </x:c>
      <x:c r="I140" s="15" t="str">
        <x:v>Not Started</x:v>
      </x:c>
      <x:c r="J140" s="15" t="n">
        <x:v>4</x:v>
      </x:c>
      <x:c r="K140" s="15" t="str"/>
      <x:c r="L140" s="15" t="str">
        <x:v>External tracker remains a synchronized projection; CELL OS authority/evidence semantics are preserved.</x:v>
      </x:c>
      <x:c r="M140" s="15" t="str">
        <x:v>Project/Issue</x:v>
      </x:c>
      <x:c r="N140" s="15" t="str">
        <x:v>Cell can update</x:v>
      </x:c>
      <x:c r="O140" s="15" t="str">
        <x:v>Test + artifact</x:v>
      </x:c>
    </x:row>
    <x:row r="141">
      <x:c r="A141" s="15" t="str">
        <x:v>P9-007</x:v>
      </x:c>
      <x:c r="B141" s="15" t="str">
        <x:v>P9</x:v>
      </x:c>
      <x:c r="C141" s="15" t="str">
        <x:v>External Work Integrations</x:v>
      </x:c>
      <x:c r="D141" s="15" t="str">
        <x:v>Linear</x:v>
      </x:c>
      <x:c r="E141" s="15" t="str">
        <x:v>Map blockers, estimates, priority and milestone metadata</x:v>
      </x:c>
      <x:c r="F141" s="15" t="str">
        <x:v>Build</x:v>
      </x:c>
      <x:c r="G141" s="15" t="str">
        <x:v>P0</x:v>
      </x:c>
      <x:c r="H141" s="15" t="str">
        <x:v>Integration Engineer</x:v>
      </x:c>
      <x:c r="I141" s="15" t="str">
        <x:v>Not Started</x:v>
      </x:c>
      <x:c r="J141" s="15" t="n">
        <x:v>2</x:v>
      </x:c>
      <x:c r="K141" s="15" t="str"/>
      <x:c r="L141" s="15" t="str">
        <x:v>External tracker remains a synchronized projection; CELL OS authority/evidence semantics are preserved.</x:v>
      </x:c>
      <x:c r="M141" s="15" t="str">
        <x:v>Project/Issue</x:v>
      </x:c>
      <x:c r="N141" s="15" t="str">
        <x:v>Cell can update</x:v>
      </x:c>
      <x:c r="O141" s="15" t="str">
        <x:v>Test + artifact</x:v>
      </x:c>
    </x:row>
    <x:row r="142">
      <x:c r="A142" s="15" t="str">
        <x:v>P9-008</x:v>
      </x:c>
      <x:c r="B142" s="15" t="str">
        <x:v>P9</x:v>
      </x:c>
      <x:c r="C142" s="15" t="str">
        <x:v>External Work Integrations</x:v>
      </x:c>
      <x:c r="D142" s="15" t="str">
        <x:v>Linear</x:v>
      </x:c>
      <x:c r="E142" s="15" t="str">
        <x:v>Conflict strategy: canonical field ownership and last-writer rules</x:v>
      </x:c>
      <x:c r="F142" s="15" t="str">
        <x:v>Build</x:v>
      </x:c>
      <x:c r="G142" s="15" t="str">
        <x:v>P0</x:v>
      </x:c>
      <x:c r="H142" s="15" t="str">
        <x:v>Systems Architect</x:v>
      </x:c>
      <x:c r="I142" s="15" t="str">
        <x:v>Not Started</x:v>
      </x:c>
      <x:c r="J142" s="15" t="n">
        <x:v>3</x:v>
      </x:c>
      <x:c r="K142" s="15" t="str"/>
      <x:c r="L142" s="15" t="str">
        <x:v>External tracker remains a synchronized projection; CELL OS authority/evidence semantics are preserved.</x:v>
      </x:c>
      <x:c r="M142" s="15" t="str">
        <x:v>Project/Issue</x:v>
      </x:c>
      <x:c r="N142" s="15" t="str">
        <x:v>Cell can update</x:v>
      </x:c>
      <x:c r="O142" s="15" t="str">
        <x:v>Test + artifact</x:v>
      </x:c>
    </x:row>
    <x:row r="143">
      <x:c r="A143" s="15" t="str">
        <x:v>P9-009</x:v>
      </x:c>
      <x:c r="B143" s="15" t="str">
        <x:v>P9</x:v>
      </x:c>
      <x:c r="C143" s="15" t="str">
        <x:v>External Work Integrations</x:v>
      </x:c>
      <x:c r="D143" s="15" t="str">
        <x:v>Linear</x:v>
      </x:c>
      <x:c r="E143" s="15" t="str">
        <x:v>Build sync health/reconciliation dashboard</x:v>
      </x:c>
      <x:c r="F143" s="15" t="str">
        <x:v>Build</x:v>
      </x:c>
      <x:c r="G143" s="15" t="str">
        <x:v>P0</x:v>
      </x:c>
      <x:c r="H143" s="15" t="str">
        <x:v>Frontend Engineer</x:v>
      </x:c>
      <x:c r="I143" s="15" t="str">
        <x:v>Not Started</x:v>
      </x:c>
      <x:c r="J143" s="15" t="n">
        <x:v>4</x:v>
      </x:c>
      <x:c r="K143" s="15" t="str"/>
      <x:c r="L143" s="15" t="str">
        <x:v>External tracker remains a synchronized projection; CELL OS authority/evidence semantics are preserved.</x:v>
      </x:c>
      <x:c r="M143" s="15" t="str">
        <x:v>Project/Issue</x:v>
      </x:c>
      <x:c r="N143" s="15" t="str">
        <x:v>Cell can update</x:v>
      </x:c>
      <x:c r="O143" s="15" t="str">
        <x:v>Test + artifact</x:v>
      </x:c>
    </x:row>
    <x:row r="144">
      <x:c r="A144" s="15" t="str">
        <x:v>P9-010</x:v>
      </x:c>
      <x:c r="B144" s="15" t="str">
        <x:v>P9</x:v>
      </x:c>
      <x:c r="C144" s="15" t="str">
        <x:v>External Work Integrations</x:v>
      </x:c>
      <x:c r="D144" s="15" t="str">
        <x:v>Linear</x:v>
      </x:c>
      <x:c r="E144" s="15" t="str">
        <x:v>Create integration contract tests and webhook replay fixtures</x:v>
      </x:c>
      <x:c r="F144" s="15" t="str">
        <x:v>Build</x:v>
      </x:c>
      <x:c r="G144" s="15" t="str">
        <x:v>P0</x:v>
      </x:c>
      <x:c r="H144" s="15" t="str">
        <x:v>QA Engineer</x:v>
      </x:c>
      <x:c r="I144" s="15" t="str">
        <x:v>Not Started</x:v>
      </x:c>
      <x:c r="J144" s="15" t="n">
        <x:v>2</x:v>
      </x:c>
      <x:c r="K144" s="15" t="str"/>
      <x:c r="L144" s="15" t="str">
        <x:v>External tracker remains a synchronized projection; CELL OS authority/evidence semantics are preserved.</x:v>
      </x:c>
      <x:c r="M144" s="15" t="str">
        <x:v>Project/Issue</x:v>
      </x:c>
      <x:c r="N144" s="15" t="str">
        <x:v>Cell can update</x:v>
      </x:c>
      <x:c r="O144" s="15" t="str">
        <x:v>Test + artifact</x:v>
      </x:c>
    </x:row>
    <x:row r="145">
      <x:c r="A145" s="15" t="str">
        <x:v>P9-011</x:v>
      </x:c>
      <x:c r="B145" s="15" t="str">
        <x:v>P9</x:v>
      </x:c>
      <x:c r="C145" s="15" t="str">
        <x:v>External Work Integrations</x:v>
      </x:c>
      <x:c r="D145" s="15" t="str">
        <x:v>GitHub</x:v>
      </x:c>
      <x:c r="E145" s="15" t="str">
        <x:v>Link tickets to branches/PRs/commits and evidence</x:v>
      </x:c>
      <x:c r="F145" s="15" t="str">
        <x:v>Build</x:v>
      </x:c>
      <x:c r="G145" s="15" t="str">
        <x:v>P0</x:v>
      </x:c>
      <x:c r="H145" s="15" t="str">
        <x:v>Integration Engineer</x:v>
      </x:c>
      <x:c r="I145" s="15" t="str">
        <x:v>Not Started</x:v>
      </x:c>
      <x:c r="J145" s="15" t="n">
        <x:v>3</x:v>
      </x:c>
      <x:c r="K145" s="15" t="str"/>
      <x:c r="L145" s="15" t="str">
        <x:v>External tracker remains a synchronized projection; CELL OS authority/evidence semantics are preserved.</x:v>
      </x:c>
      <x:c r="M145" s="15" t="str">
        <x:v>Project/Issue</x:v>
      </x:c>
      <x:c r="N145" s="15" t="str">
        <x:v>Cell can update</x:v>
      </x:c>
      <x:c r="O145" s="15" t="str">
        <x:v>Test + artifact</x:v>
      </x:c>
    </x:row>
    <x:row r="146">
      <x:c r="A146" s="15" t="str">
        <x:v>P9-012</x:v>
      </x:c>
      <x:c r="B146" s="15" t="str">
        <x:v>P9</x:v>
      </x:c>
      <x:c r="C146" s="15" t="str">
        <x:v>External Work Integrations</x:v>
      </x:c>
      <x:c r="D146" s="15" t="str">
        <x:v>GitHub</x:v>
      </x:c>
      <x:c r="E146" s="15" t="str">
        <x:v>Emit PR/test/deployment evidence into Evidence Ledger</x:v>
      </x:c>
      <x:c r="F146" s="15" t="str">
        <x:v>Build</x:v>
      </x:c>
      <x:c r="G146" s="15" t="str">
        <x:v>P0</x:v>
      </x:c>
      <x:c r="H146" s="15" t="str">
        <x:v>Integration Engineer</x:v>
      </x:c>
      <x:c r="I146" s="15" t="str">
        <x:v>Not Started</x:v>
      </x:c>
      <x:c r="J146" s="15" t="n">
        <x:v>4</x:v>
      </x:c>
      <x:c r="K146" s="15" t="str"/>
      <x:c r="L146" s="15" t="str">
        <x:v>External tracker remains a synchronized projection; CELL OS authority/evidence semantics are preserved.</x:v>
      </x:c>
      <x:c r="M146" s="15" t="str">
        <x:v>Project/Issue</x:v>
      </x:c>
      <x:c r="N146" s="15" t="str">
        <x:v>Cell can update</x:v>
      </x:c>
      <x:c r="O146" s="15" t="str">
        <x:v>Test + artifact</x:v>
      </x:c>
    </x:row>
    <x:row r="147">
      <x:c r="A147" s="15" t="str">
        <x:v>P9-013</x:v>
      </x:c>
      <x:c r="B147" s="15" t="str">
        <x:v>P9</x:v>
      </x:c>
      <x:c r="C147" s="15" t="str">
        <x:v>External Work Integrations</x:v>
      </x:c>
      <x:c r="D147" s="15" t="str">
        <x:v>Paperclip study</x:v>
      </x:c>
      <x:c r="E147" s="15" t="str">
        <x:v>Document patterns to borrow: task hierarchy, approvals, budgets, lifecycle, heartbeats</x:v>
      </x:c>
      <x:c r="F147" s="15" t="str">
        <x:v>Research</x:v>
      </x:c>
      <x:c r="G147" s="15" t="str">
        <x:v>P1</x:v>
      </x:c>
      <x:c r="H147" s="15" t="str">
        <x:v>Product Researcher</x:v>
      </x:c>
      <x:c r="I147" s="15" t="str">
        <x:v>Not Started</x:v>
      </x:c>
      <x:c r="J147" s="15" t="n">
        <x:v>2</x:v>
      </x:c>
      <x:c r="K147" s="15" t="str"/>
      <x:c r="L147" s="15" t="str">
        <x:v>External tracker remains a synchronized projection; CELL OS authority/evidence semantics are preserved.</x:v>
      </x:c>
      <x:c r="M147" s="15" t="str">
        <x:v>Project/Issue</x:v>
      </x:c>
      <x:c r="N147" s="15" t="str">
        <x:v>Cell can update</x:v>
      </x:c>
      <x:c r="O147" s="15" t="str">
        <x:v>Test + artifact</x:v>
      </x:c>
    </x:row>
    <x:row r="148">
      <x:c r="A148" s="15" t="str">
        <x:v>P9-014</x:v>
      </x:c>
      <x:c r="B148" s="15" t="str">
        <x:v>P9</x:v>
      </x:c>
      <x:c r="C148" s="15" t="str">
        <x:v>External Work Integrations</x:v>
      </x:c>
      <x:c r="D148" s="15" t="str">
        <x:v>Migration</x:v>
      </x:c>
      <x:c r="E148" s="15" t="str">
        <x:v>Build importer for existing roadmap/ticket spreadsheets</x:v>
      </x:c>
      <x:c r="F148" s="15" t="str">
        <x:v>Build</x:v>
      </x:c>
      <x:c r="G148" s="15" t="str">
        <x:v>P1</x:v>
      </x:c>
      <x:c r="H148" s="15" t="str">
        <x:v>Data Engineer</x:v>
      </x:c>
      <x:c r="I148" s="15" t="str">
        <x:v>Not Started</x:v>
      </x:c>
      <x:c r="J148" s="15" t="n">
        <x:v>3</x:v>
      </x:c>
      <x:c r="K148" s="15" t="str"/>
      <x:c r="L148" s="15" t="str">
        <x:v>External tracker remains a synchronized projection; CELL OS authority/evidence semantics are preserved.</x:v>
      </x:c>
      <x:c r="M148" s="15" t="str">
        <x:v>Project/Issue</x:v>
      </x:c>
      <x:c r="N148" s="15" t="str">
        <x:v>Cell can update</x:v>
      </x:c>
      <x:c r="O148" s="15" t="str">
        <x:v>Test + artifact</x:v>
      </x:c>
    </x:row>
    <x:row r="149">
      <x:c r="A149" s="15" t="str">
        <x:v>P9-015</x:v>
      </x:c>
      <x:c r="B149" s="15" t="str">
        <x:v>P9</x:v>
      </x:c>
      <x:c r="C149" s="15" t="str">
        <x:v>External Work Integrations</x:v>
      </x:c>
      <x:c r="D149" s="15" t="str">
        <x:v>API</x:v>
      </x:c>
      <x:c r="E149" s="15" t="str">
        <x:v>Publish WorkGraph API/SDK for third-party trackers</x:v>
      </x:c>
      <x:c r="F149" s="15" t="str">
        <x:v>Build</x:v>
      </x:c>
      <x:c r="G149" s="15" t="str">
        <x:v>P1</x:v>
      </x:c>
      <x:c r="H149" s="15" t="str">
        <x:v>Platform Engineer</x:v>
      </x:c>
      <x:c r="I149" s="15" t="str">
        <x:v>Not Started</x:v>
      </x:c>
      <x:c r="J149" s="15" t="n">
        <x:v>4</x:v>
      </x:c>
      <x:c r="K149" s="15" t="str"/>
      <x:c r="L149" s="15" t="str">
        <x:v>External tracker remains a synchronized projection; CELL OS authority/evidence semantics are preserved.</x:v>
      </x:c>
      <x:c r="M149" s="15" t="str">
        <x:v>Project/Issue</x:v>
      </x:c>
      <x:c r="N149" s="15" t="str">
        <x:v>Cell can update</x:v>
      </x:c>
      <x:c r="O149" s="15" t="str">
        <x:v>Test + artifact</x:v>
      </x:c>
    </x:row>
    <x:row r="150">
      <x:c r="A150" s="15" t="str">
        <x:v>P10-001</x:v>
      </x:c>
      <x:c r="B150" s="15" t="str">
        <x:v>P10</x:v>
      </x:c>
      <x:c r="C150" s="15" t="str">
        <x:v>Experience</x:v>
      </x:c>
      <x:c r="D150" s="15" t="str">
        <x:v>Avatar</x:v>
      </x:c>
      <x:c r="E150" s="15" t="str">
        <x:v>Define state-equivalence contract between Mission Control and Avatar World</x:v>
      </x:c>
      <x:c r="F150" s="15" t="str">
        <x:v>Build</x:v>
      </x:c>
      <x:c r="G150" s="15" t="str">
        <x:v>P0</x:v>
      </x:c>
      <x:c r="H150" s="15" t="str">
        <x:v>Product Architect</x:v>
      </x:c>
      <x:c r="I150" s="15" t="str">
        <x:v>Not Started</x:v>
      </x:c>
      <x:c r="J150" s="15" t="n">
        <x:v>2</x:v>
      </x:c>
      <x:c r="K150" s="15" t="str"/>
      <x:c r="L150" s="15" t="str">
        <x:v>Automated test, reviewed artifact or benchmark demonstrates the defined contract.</x:v>
      </x:c>
      <x:c r="M150" s="15" t="str">
        <x:v>Project/Issue</x:v>
      </x:c>
      <x:c r="N150" s="15" t="str">
        <x:v>Cell can update</x:v>
      </x:c>
      <x:c r="O150" s="15" t="str">
        <x:v>Test + artifact</x:v>
      </x:c>
    </x:row>
    <x:row r="151">
      <x:c r="A151" s="15" t="str">
        <x:v>P10-002</x:v>
      </x:c>
      <x:c r="B151" s="15" t="str">
        <x:v>P10</x:v>
      </x:c>
      <x:c r="C151" s="15" t="str">
        <x:v>Experience</x:v>
      </x:c>
      <x:c r="D151" s="15" t="str">
        <x:v>Avatar</x:v>
      </x:c>
      <x:c r="E151" s="15" t="str">
        <x:v>Build spatial mapping for Cell, Operative, mission, gate and artifact</x:v>
      </x:c>
      <x:c r="F151" s="15" t="str">
        <x:v>Build</x:v>
      </x:c>
      <x:c r="G151" s="15" t="str">
        <x:v>P0</x:v>
      </x:c>
      <x:c r="H151" s="15" t="str">
        <x:v>Frontend Engineer</x:v>
      </x:c>
      <x:c r="I151" s="15" t="str">
        <x:v>Not Started</x:v>
      </x:c>
      <x:c r="J151" s="15" t="n">
        <x:v>3</x:v>
      </x:c>
      <x:c r="K151" s="15" t="str"/>
      <x:c r="L151" s="15" t="str">
        <x:v>Automated test, reviewed artifact or benchmark demonstrates the defined contract.</x:v>
      </x:c>
      <x:c r="M151" s="15" t="str">
        <x:v>Project/Issue</x:v>
      </x:c>
      <x:c r="N151" s="15" t="str">
        <x:v>Cell can update</x:v>
      </x:c>
      <x:c r="O151" s="15" t="str">
        <x:v>Test + artifact</x:v>
      </x:c>
    </x:row>
    <x:row r="152">
      <x:c r="A152" s="15" t="str">
        <x:v>P10-003</x:v>
      </x:c>
      <x:c r="B152" s="15" t="str">
        <x:v>P10</x:v>
      </x:c>
      <x:c r="C152" s="15" t="str">
        <x:v>Experience</x:v>
      </x:c>
      <x:c r="D152" s="15" t="str">
        <x:v>Avatar</x:v>
      </x:c>
      <x:c r="E152" s="15" t="str">
        <x:v>Implement live event-to-animation projection</x:v>
      </x:c>
      <x:c r="F152" s="15" t="str">
        <x:v>Build</x:v>
      </x:c>
      <x:c r="G152" s="15" t="str">
        <x:v>P0</x:v>
      </x:c>
      <x:c r="H152" s="15" t="str">
        <x:v>Frontend Engineer</x:v>
      </x:c>
      <x:c r="I152" s="15" t="str">
        <x:v>Not Started</x:v>
      </x:c>
      <x:c r="J152" s="15" t="n">
        <x:v>4</x:v>
      </x:c>
      <x:c r="K152" s="15" t="str"/>
      <x:c r="L152" s="15" t="str">
        <x:v>Automated test, reviewed artifact or benchmark demonstrates the defined contract.</x:v>
      </x:c>
      <x:c r="M152" s="15" t="str">
        <x:v>Project/Issue</x:v>
      </x:c>
      <x:c r="N152" s="15" t="str">
        <x:v>Cell can update</x:v>
      </x:c>
      <x:c r="O152" s="15" t="str">
        <x:v>Test + artifact</x:v>
      </x:c>
    </x:row>
    <x:row r="153">
      <x:c r="A153" s="15" t="str">
        <x:v>P10-004</x:v>
      </x:c>
      <x:c r="B153" s="15" t="str">
        <x:v>P10</x:v>
      </x:c>
      <x:c r="C153" s="15" t="str">
        <x:v>Experience</x:v>
      </x:c>
      <x:c r="D153" s="15" t="str">
        <x:v>Avatar</x:v>
      </x:c>
      <x:c r="E153" s="15" t="str">
        <x:v>Build avatar/room inspector mapped to real runtime objects</x:v>
      </x:c>
      <x:c r="F153" s="15" t="str">
        <x:v>Build</x:v>
      </x:c>
      <x:c r="G153" s="15" t="str">
        <x:v>P0</x:v>
      </x:c>
      <x:c r="H153" s="15" t="str">
        <x:v>Frontend Engineer</x:v>
      </x:c>
      <x:c r="I153" s="15" t="str">
        <x:v>Not Started</x:v>
      </x:c>
      <x:c r="J153" s="15" t="n">
        <x:v>2</x:v>
      </x:c>
      <x:c r="K153" s="15" t="str"/>
      <x:c r="L153" s="15" t="str">
        <x:v>Automated test, reviewed artifact or benchmark demonstrates the defined contract.</x:v>
      </x:c>
      <x:c r="M153" s="15" t="str">
        <x:v>Project/Issue</x:v>
      </x:c>
      <x:c r="N153" s="15" t="str">
        <x:v>Cell can update</x:v>
      </x:c>
      <x:c r="O153" s="15" t="str">
        <x:v>Test + artifact</x:v>
      </x:c>
    </x:row>
    <x:row r="154">
      <x:c r="A154" s="15" t="str">
        <x:v>P10-005</x:v>
      </x:c>
      <x:c r="B154" s="15" t="str">
        <x:v>P10</x:v>
      </x:c>
      <x:c r="C154" s="15" t="str">
        <x:v>Experience</x:v>
      </x:c>
      <x:c r="D154" s="15" t="str">
        <x:v>Accessibility</x:v>
      </x:c>
      <x:c r="E154" s="15" t="str">
        <x:v>Provide list/table/keyboard parity for every critical spatial action</x:v>
      </x:c>
      <x:c r="F154" s="15" t="str">
        <x:v>Build</x:v>
      </x:c>
      <x:c r="G154" s="15" t="str">
        <x:v>P0</x:v>
      </x:c>
      <x:c r="H154" s="15" t="str">
        <x:v>Accessibility Engineer</x:v>
      </x:c>
      <x:c r="I154" s="15" t="str">
        <x:v>Not Started</x:v>
      </x:c>
      <x:c r="J154" s="15" t="n">
        <x:v>3</x:v>
      </x:c>
      <x:c r="K154" s="15" t="str"/>
      <x:c r="L154" s="15" t="str">
        <x:v>Automated test, reviewed artifact or benchmark demonstrates the defined contract.</x:v>
      </x:c>
      <x:c r="M154" s="15" t="str">
        <x:v>Project/Issue</x:v>
      </x:c>
      <x:c r="N154" s="15" t="str">
        <x:v>Cell can update</x:v>
      </x:c>
      <x:c r="O154" s="15" t="str">
        <x:v>Test + artifact</x:v>
      </x:c>
    </x:row>
    <x:row r="155">
      <x:c r="A155" s="15" t="str">
        <x:v>P10-006</x:v>
      </x:c>
      <x:c r="B155" s="15" t="str">
        <x:v>P10</x:v>
      </x:c>
      <x:c r="C155" s="15" t="str">
        <x:v>Experience</x:v>
      </x:c>
      <x:c r="D155" s="15" t="str">
        <x:v>Profiles</x:v>
      </x:c>
      <x:c r="E155" s="15" t="str">
        <x:v>Build Operator and Cell profile models</x:v>
      </x:c>
      <x:c r="F155" s="15" t="str">
        <x:v>Build</x:v>
      </x:c>
      <x:c r="G155" s="15" t="str">
        <x:v>P0</x:v>
      </x:c>
      <x:c r="H155" s="15" t="str">
        <x:v>Frontend Engineer</x:v>
      </x:c>
      <x:c r="I155" s="15" t="str">
        <x:v>Not Started</x:v>
      </x:c>
      <x:c r="J155" s="15" t="n">
        <x:v>4</x:v>
      </x:c>
      <x:c r="K155" s="15" t="str"/>
      <x:c r="L155" s="15" t="str">
        <x:v>Automated test, reviewed artifact or benchmark demonstrates the defined contract.</x:v>
      </x:c>
      <x:c r="M155" s="15" t="str">
        <x:v>Project/Issue</x:v>
      </x:c>
      <x:c r="N155" s="15" t="str">
        <x:v>Cell can update</x:v>
      </x:c>
      <x:c r="O155" s="15" t="str">
        <x:v>Test + artifact</x:v>
      </x:c>
    </x:row>
    <x:row r="156">
      <x:c r="A156" s="15" t="str">
        <x:v>P10-007</x:v>
      </x:c>
      <x:c r="B156" s="15" t="str">
        <x:v>P10</x:v>
      </x:c>
      <x:c r="C156" s="15" t="str">
        <x:v>Experience</x:v>
      </x:c>
      <x:c r="D156" s="15" t="str">
        <x:v>Blueprints</x:v>
      </x:c>
      <x:c r="E156" s="15" t="str">
        <x:v>Build public/private blueprint library</x:v>
      </x:c>
      <x:c r="F156" s="15" t="str">
        <x:v>Build</x:v>
      </x:c>
      <x:c r="G156" s="15" t="str">
        <x:v>P0</x:v>
      </x:c>
      <x:c r="H156" s="15" t="str">
        <x:v>Frontend Engineer</x:v>
      </x:c>
      <x:c r="I156" s="15" t="str">
        <x:v>Not Started</x:v>
      </x:c>
      <x:c r="J156" s="15" t="n">
        <x:v>2</x:v>
      </x:c>
      <x:c r="K156" s="15" t="str"/>
      <x:c r="L156" s="15" t="str">
        <x:v>Automated test, reviewed artifact or benchmark demonstrates the defined contract.</x:v>
      </x:c>
      <x:c r="M156" s="15" t="str">
        <x:v>Project/Issue</x:v>
      </x:c>
      <x:c r="N156" s="15" t="str">
        <x:v>Cell can update</x:v>
      </x:c>
      <x:c r="O156" s="15" t="str">
        <x:v>Test + artifact</x:v>
      </x:c>
    </x:row>
    <x:row r="157">
      <x:c r="A157" s="15" t="str">
        <x:v>P10-008</x:v>
      </x:c>
      <x:c r="B157" s="15" t="str">
        <x:v>P10</x:v>
      </x:c>
      <x:c r="C157" s="15" t="str">
        <x:v>Experience</x:v>
      </x:c>
      <x:c r="D157" s="15" t="str">
        <x:v>Blueprints</x:v>
      </x:c>
      <x:c r="E157" s="15" t="str">
        <x:v>Attach eval/certification lineage to shared Cell Images</x:v>
      </x:c>
      <x:c r="F157" s="15" t="str">
        <x:v>Build</x:v>
      </x:c>
      <x:c r="G157" s="15" t="str">
        <x:v>P0</x:v>
      </x:c>
      <x:c r="H157" s="15" t="str">
        <x:v>Platform Engineer</x:v>
      </x:c>
      <x:c r="I157" s="15" t="str">
        <x:v>Not Started</x:v>
      </x:c>
      <x:c r="J157" s="15" t="n">
        <x:v>3</x:v>
      </x:c>
      <x:c r="K157" s="15" t="str"/>
      <x:c r="L157" s="15" t="str">
        <x:v>Automated test, reviewed artifact or benchmark demonstrates the defined contract.</x:v>
      </x:c>
      <x:c r="M157" s="15" t="str">
        <x:v>Project/Issue</x:v>
      </x:c>
      <x:c r="N157" s="15" t="str">
        <x:v>Cell can update</x:v>
      </x:c>
      <x:c r="O157" s="15" t="str">
        <x:v>Test + artifact</x:v>
      </x:c>
    </x:row>
    <x:row r="158">
      <x:c r="A158" s="15" t="str">
        <x:v>P10-009</x:v>
      </x:c>
      <x:c r="B158" s="15" t="str">
        <x:v>P10</x:v>
      </x:c>
      <x:c r="C158" s="15" t="str">
        <x:v>Experience</x:v>
      </x:c>
      <x:c r="D158" s="15" t="str">
        <x:v>Challenges</x:v>
      </x:c>
      <x:c r="E158" s="15" t="str">
        <x:v>Build standardized mission challenge registry</x:v>
      </x:c>
      <x:c r="F158" s="15" t="str">
        <x:v>Build</x:v>
      </x:c>
      <x:c r="G158" s="15" t="str">
        <x:v>P1</x:v>
      </x:c>
      <x:c r="H158" s="15" t="str">
        <x:v>Platform Engineer</x:v>
      </x:c>
      <x:c r="I158" s="15" t="str">
        <x:v>Not Started</x:v>
      </x:c>
      <x:c r="J158" s="15" t="n">
        <x:v>4</x:v>
      </x:c>
      <x:c r="K158" s="15" t="str"/>
      <x:c r="L158" s="15" t="str">
        <x:v>Automated test, reviewed artifact or benchmark demonstrates the defined contract.</x:v>
      </x:c>
      <x:c r="M158" s="15" t="str">
        <x:v>Project/Issue</x:v>
      </x:c>
      <x:c r="N158" s="15" t="str">
        <x:v>Cell can update</x:v>
      </x:c>
      <x:c r="O158" s="15" t="str">
        <x:v>Test + artifact</x:v>
      </x:c>
    </x:row>
    <x:row r="159">
      <x:c r="A159" s="15" t="str">
        <x:v>P10-010</x:v>
      </x:c>
      <x:c r="B159" s="15" t="str">
        <x:v>P10</x:v>
      </x:c>
      <x:c r="C159" s="15" t="str">
        <x:v>Experience</x:v>
      </x:c>
      <x:c r="D159" s="15" t="str">
        <x:v>Reputation</x:v>
      </x:c>
      <x:c r="E159" s="15" t="str">
        <x:v>Implement evidence-weighted reputation</x:v>
      </x:c>
      <x:c r="F159" s="15" t="str">
        <x:v>Build</x:v>
      </x:c>
      <x:c r="G159" s="15" t="str">
        <x:v>P1</x:v>
      </x:c>
      <x:c r="H159" s="15" t="str">
        <x:v>Data Engineer</x:v>
      </x:c>
      <x:c r="I159" s="15" t="str">
        <x:v>Not Started</x:v>
      </x:c>
      <x:c r="J159" s="15" t="n">
        <x:v>2</x:v>
      </x:c>
      <x:c r="K159" s="15" t="str"/>
      <x:c r="L159" s="15" t="str">
        <x:v>Automated test, reviewed artifact or benchmark demonstrates the defined contract.</x:v>
      </x:c>
      <x:c r="M159" s="15" t="str">
        <x:v>Project/Issue</x:v>
      </x:c>
      <x:c r="N159" s="15" t="str">
        <x:v>Cell can update</x:v>
      </x:c>
      <x:c r="O159" s="15" t="str">
        <x:v>Test + artifact</x:v>
      </x:c>
    </x:row>
    <x:row r="160">
      <x:c r="A160" s="15" t="str">
        <x:v>P10-011</x:v>
      </x:c>
      <x:c r="B160" s="15" t="str">
        <x:v>P10</x:v>
      </x:c>
      <x:c r="C160" s="15" t="str">
        <x:v>Experience</x:v>
      </x:c>
      <x:c r="D160" s="15" t="str">
        <x:v>Reputation</x:v>
      </x:c>
      <x:c r="E160" s="15" t="str">
        <x:v>Implement invalidation/reversal when evidence is superseded</x:v>
      </x:c>
      <x:c r="F160" s="15" t="str">
        <x:v>Build</x:v>
      </x:c>
      <x:c r="G160" s="15" t="str">
        <x:v>P1</x:v>
      </x:c>
      <x:c r="H160" s="15" t="str">
        <x:v>Data Engineer</x:v>
      </x:c>
      <x:c r="I160" s="15" t="str">
        <x:v>Not Started</x:v>
      </x:c>
      <x:c r="J160" s="15" t="n">
        <x:v>3</x:v>
      </x:c>
      <x:c r="K160" s="15" t="str"/>
      <x:c r="L160" s="15" t="str">
        <x:v>Automated test, reviewed artifact or benchmark demonstrates the defined contract.</x:v>
      </x:c>
      <x:c r="M160" s="15" t="str">
        <x:v>Project/Issue</x:v>
      </x:c>
      <x:c r="N160" s="15" t="str">
        <x:v>Cell can update</x:v>
      </x:c>
      <x:c r="O160" s="15" t="str">
        <x:v>Test + artifact</x:v>
      </x:c>
    </x:row>
    <x:row r="161">
      <x:c r="A161" s="15" t="str">
        <x:v>P10-012</x:v>
      </x:c>
      <x:c r="B161" s="15" t="str">
        <x:v>P10</x:v>
      </x:c>
      <x:c r="C161" s="15" t="str">
        <x:v>Experience</x:v>
      </x:c>
      <x:c r="D161" s="15" t="str">
        <x:v>Social</x:v>
      </x:c>
      <x:c r="E161" s="15" t="str">
        <x:v>Implement scoped collaboration/federation invitations</x:v>
      </x:c>
      <x:c r="F161" s="15" t="str">
        <x:v>Build</x:v>
      </x:c>
      <x:c r="G161" s="15" t="str">
        <x:v>P1</x:v>
      </x:c>
      <x:c r="H161" s="15" t="str">
        <x:v>Platform Engineer</x:v>
      </x:c>
      <x:c r="I161" s="15" t="str">
        <x:v>Not Started</x:v>
      </x:c>
      <x:c r="J161" s="15" t="n">
        <x:v>4</x:v>
      </x:c>
      <x:c r="K161" s="15" t="str"/>
      <x:c r="L161" s="15" t="str">
        <x:v>Automated test, reviewed artifact or benchmark demonstrates the defined contract.</x:v>
      </x:c>
      <x:c r="M161" s="15" t="str">
        <x:v>Project/Issue</x:v>
      </x:c>
      <x:c r="N161" s="15" t="str">
        <x:v>Cell can update</x:v>
      </x:c>
      <x:c r="O161" s="15" t="str">
        <x:v>Test + artifact</x:v>
      </x:c>
    </x:row>
    <x:row r="162">
      <x:c r="A162" s="15" t="str">
        <x:v>P10-013</x:v>
      </x:c>
      <x:c r="B162" s="15" t="str">
        <x:v>P10</x:v>
      </x:c>
      <x:c r="C162" s="15" t="str">
        <x:v>Experience</x:v>
      </x:c>
      <x:c r="D162" s="15" t="str">
        <x:v>Anti-gaming</x:v>
      </x:c>
      <x:c r="E162" s="15" t="str">
        <x:v>Test incentive design against proxy gaming</x:v>
      </x:c>
      <x:c r="F162" s="15" t="str">
        <x:v>Build</x:v>
      </x:c>
      <x:c r="G162" s="15" t="str">
        <x:v>P1</x:v>
      </x:c>
      <x:c r="H162" s="15" t="str">
        <x:v>AI Research Engineer</x:v>
      </x:c>
      <x:c r="I162" s="15" t="str">
        <x:v>Not Started</x:v>
      </x:c>
      <x:c r="J162" s="15" t="n">
        <x:v>2</x:v>
      </x:c>
      <x:c r="K162" s="15" t="str"/>
      <x:c r="L162" s="15" t="str">
        <x:v>Automated test, reviewed artifact or benchmark demonstrates the defined contract.</x:v>
      </x:c>
      <x:c r="M162" s="15" t="str">
        <x:v>Project/Issue</x:v>
      </x:c>
      <x:c r="N162" s="15" t="str">
        <x:v>Cell can update</x:v>
      </x:c>
      <x:c r="O162" s="15" t="str">
        <x:v>Test + artifact</x:v>
      </x:c>
    </x:row>
    <x:row r="163">
      <x:c r="A163" s="15" t="str">
        <x:v>P11-001</x:v>
      </x:c>
      <x:c r="B163" s="15" t="str">
        <x:v>P11</x:v>
      </x:c>
      <x:c r="C163" s="15" t="str">
        <x:v>CELL Mesh</x:v>
      </x:c>
      <x:c r="D163" s="15" t="str">
        <x:v>Identity</x:v>
      </x:c>
      <x:c r="E163" s="15" t="str">
        <x:v>Define node identity, trust roots and federation handshake</x:v>
      </x:c>
      <x:c r="F163" s="15" t="str">
        <x:v>Build</x:v>
      </x:c>
      <x:c r="G163" s="15" t="str">
        <x:v>P0</x:v>
      </x:c>
      <x:c r="H163" s="15" t="str">
        <x:v>Security Architect</x:v>
      </x:c>
      <x:c r="I163" s="15" t="str">
        <x:v>Not Started</x:v>
      </x:c>
      <x:c r="J163" s="15" t="n">
        <x:v>2</x:v>
      </x:c>
      <x:c r="K163" s="15" t="str"/>
      <x:c r="L163" s="15" t="str">
        <x:v>Automated test, reviewed artifact or benchmark demonstrates the defined contract.</x:v>
      </x:c>
      <x:c r="M163" s="15" t="str">
        <x:v>Project/Issue</x:v>
      </x:c>
      <x:c r="N163" s="15" t="str">
        <x:v>Cell can update</x:v>
      </x:c>
      <x:c r="O163" s="15" t="str">
        <x:v>Test + artifact</x:v>
      </x:c>
    </x:row>
    <x:row r="164">
      <x:c r="A164" s="15" t="str">
        <x:v>P11-002</x:v>
      </x:c>
      <x:c r="B164" s="15" t="str">
        <x:v>P11</x:v>
      </x:c>
      <x:c r="C164" s="15" t="str">
        <x:v>CELL Mesh</x:v>
      </x:c>
      <x:c r="D164" s="15" t="str">
        <x:v>Discovery</x:v>
      </x:c>
      <x:c r="E164" s="15" t="str">
        <x:v>Implement peer/node capability discovery</x:v>
      </x:c>
      <x:c r="F164" s="15" t="str">
        <x:v>Build</x:v>
      </x:c>
      <x:c r="G164" s="15" t="str">
        <x:v>P0</x:v>
      </x:c>
      <x:c r="H164" s="15" t="str">
        <x:v>Distributed Systems Engineer</x:v>
      </x:c>
      <x:c r="I164" s="15" t="str">
        <x:v>Not Started</x:v>
      </x:c>
      <x:c r="J164" s="15" t="n">
        <x:v>3</x:v>
      </x:c>
      <x:c r="K164" s="15" t="str"/>
      <x:c r="L164" s="15" t="str">
        <x:v>Automated test, reviewed artifact or benchmark demonstrates the defined contract.</x:v>
      </x:c>
      <x:c r="M164" s="15" t="str">
        <x:v>Project/Issue</x:v>
      </x:c>
      <x:c r="N164" s="15" t="str">
        <x:v>Cell can update</x:v>
      </x:c>
      <x:c r="O164" s="15" t="str">
        <x:v>Test + artifact</x:v>
      </x:c>
    </x:row>
    <x:row r="165">
      <x:c r="A165" s="15" t="str">
        <x:v>P11-003</x:v>
      </x:c>
      <x:c r="B165" s="15" t="str">
        <x:v>P11</x:v>
      </x:c>
      <x:c r="C165" s="15" t="str">
        <x:v>CELL Mesh</x:v>
      </x:c>
      <x:c r="D165" s="15" t="str">
        <x:v>Messaging</x:v>
      </x:c>
      <x:c r="E165" s="15" t="str">
        <x:v>Implement scoped cross-node CellBus transport</x:v>
      </x:c>
      <x:c r="F165" s="15" t="str">
        <x:v>Build</x:v>
      </x:c>
      <x:c r="G165" s="15" t="str">
        <x:v>P0</x:v>
      </x:c>
      <x:c r="H165" s="15" t="str">
        <x:v>Distributed Systems Engineer</x:v>
      </x:c>
      <x:c r="I165" s="15" t="str">
        <x:v>Not Started</x:v>
      </x:c>
      <x:c r="J165" s="15" t="n">
        <x:v>4</x:v>
      </x:c>
      <x:c r="K165" s="15" t="str"/>
      <x:c r="L165" s="15" t="str">
        <x:v>Automated test, reviewed artifact or benchmark demonstrates the defined contract.</x:v>
      </x:c>
      <x:c r="M165" s="15" t="str">
        <x:v>Project/Issue</x:v>
      </x:c>
      <x:c r="N165" s="15" t="str">
        <x:v>Cell can update</x:v>
      </x:c>
      <x:c r="O165" s="15" t="str">
        <x:v>Test + artifact</x:v>
      </x:c>
    </x:row>
    <x:row r="166">
      <x:c r="A166" s="15" t="str">
        <x:v>P11-004</x:v>
      </x:c>
      <x:c r="B166" s="15" t="str">
        <x:v>P11</x:v>
      </x:c>
      <x:c r="C166" s="15" t="str">
        <x:v>CELL Mesh</x:v>
      </x:c>
      <x:c r="D166" s="15" t="str">
        <x:v>Policy</x:v>
      </x:c>
      <x:c r="E166" s="15" t="str">
        <x:v>Implement policy intersection for cross-node requests</x:v>
      </x:c>
      <x:c r="F166" s="15" t="str">
        <x:v>Build</x:v>
      </x:c>
      <x:c r="G166" s="15" t="str">
        <x:v>P0</x:v>
      </x:c>
      <x:c r="H166" s="15" t="str">
        <x:v>Security Engineer</x:v>
      </x:c>
      <x:c r="I166" s="15" t="str">
        <x:v>Not Started</x:v>
      </x:c>
      <x:c r="J166" s="15" t="n">
        <x:v>2</x:v>
      </x:c>
      <x:c r="K166" s="15" t="str"/>
      <x:c r="L166" s="15" t="str">
        <x:v>Automated test, reviewed artifact or benchmark demonstrates the defined contract.</x:v>
      </x:c>
      <x:c r="M166" s="15" t="str">
        <x:v>Project/Issue</x:v>
      </x:c>
      <x:c r="N166" s="15" t="str">
        <x:v>Cell can update</x:v>
      </x:c>
      <x:c r="O166" s="15" t="str">
        <x:v>Test + artifact</x:v>
      </x:c>
    </x:row>
    <x:row r="167">
      <x:c r="A167" s="15" t="str">
        <x:v>P11-005</x:v>
      </x:c>
      <x:c r="B167" s="15" t="str">
        <x:v>P11</x:v>
      </x:c>
      <x:c r="C167" s="15" t="str">
        <x:v>CELL Mesh</x:v>
      </x:c>
      <x:c r="D167" s="15" t="str">
        <x:v>Knowledge</x:v>
      </x:c>
      <x:c r="E167" s="15" t="str">
        <x:v>Implement federated query without default centralization</x:v>
      </x:c>
      <x:c r="F167" s="15" t="str">
        <x:v>Build</x:v>
      </x:c>
      <x:c r="G167" s="15" t="str">
        <x:v>P0</x:v>
      </x:c>
      <x:c r="H167" s="15" t="str">
        <x:v>Knowledge Engineer</x:v>
      </x:c>
      <x:c r="I167" s="15" t="str">
        <x:v>Not Started</x:v>
      </x:c>
      <x:c r="J167" s="15" t="n">
        <x:v>3</x:v>
      </x:c>
      <x:c r="K167" s="15" t="str"/>
      <x:c r="L167" s="15" t="str">
        <x:v>Automated test, reviewed artifact or benchmark demonstrates the defined contract.</x:v>
      </x:c>
      <x:c r="M167" s="15" t="str">
        <x:v>Project/Issue</x:v>
      </x:c>
      <x:c r="N167" s="15" t="str">
        <x:v>Cell can update</x:v>
      </x:c>
      <x:c r="O167" s="15" t="str">
        <x:v>Test + artifact</x:v>
      </x:c>
    </x:row>
    <x:row r="168">
      <x:c r="A168" s="15" t="str">
        <x:v>P11-006</x:v>
      </x:c>
      <x:c r="B168" s="15" t="str">
        <x:v>P11</x:v>
      </x:c>
      <x:c r="C168" s="15" t="str">
        <x:v>CELL Mesh</x:v>
      </x:c>
      <x:c r="D168" s="15" t="str">
        <x:v>Knowledge</x:v>
      </x:c>
      <x:c r="E168" s="15" t="str">
        <x:v>Implement selective artifact/claim exchange with provenance</x:v>
      </x:c>
      <x:c r="F168" s="15" t="str">
        <x:v>Build</x:v>
      </x:c>
      <x:c r="G168" s="15" t="str">
        <x:v>P0</x:v>
      </x:c>
      <x:c r="H168" s="15" t="str">
        <x:v>Knowledge Engineer</x:v>
      </x:c>
      <x:c r="I168" s="15" t="str">
        <x:v>Not Started</x:v>
      </x:c>
      <x:c r="J168" s="15" t="n">
        <x:v>4</x:v>
      </x:c>
      <x:c r="K168" s="15" t="str"/>
      <x:c r="L168" s="15" t="str">
        <x:v>Automated test, reviewed artifact or benchmark demonstrates the defined contract.</x:v>
      </x:c>
      <x:c r="M168" s="15" t="str">
        <x:v>Project/Issue</x:v>
      </x:c>
      <x:c r="N168" s="15" t="str">
        <x:v>Cell can update</x:v>
      </x:c>
      <x:c r="O168" s="15" t="str">
        <x:v>Test + artifact</x:v>
      </x:c>
    </x:row>
    <x:row r="169">
      <x:c r="A169" s="15" t="str">
        <x:v>P11-007</x:v>
      </x:c>
      <x:c r="B169" s="15" t="str">
        <x:v>P11</x:v>
      </x:c>
      <x:c r="C169" s="15" t="str">
        <x:v>CELL Mesh</x:v>
      </x:c>
      <x:c r="D169" s="15" t="str">
        <x:v>Resources</x:v>
      </x:c>
      <x:c r="E169" s="15" t="str">
        <x:v>Define capability lease/resource-sharing contract</x:v>
      </x:c>
      <x:c r="F169" s="15" t="str">
        <x:v>Build</x:v>
      </x:c>
      <x:c r="G169" s="15" t="str">
        <x:v>P0</x:v>
      </x:c>
      <x:c r="H169" s="15" t="str">
        <x:v>Distributed Systems Engineer</x:v>
      </x:c>
      <x:c r="I169" s="15" t="str">
        <x:v>Not Started</x:v>
      </x:c>
      <x:c r="J169" s="15" t="n">
        <x:v>2</x:v>
      </x:c>
      <x:c r="K169" s="15" t="str"/>
      <x:c r="L169" s="15" t="str">
        <x:v>Automated test, reviewed artifact or benchmark demonstrates the defined contract.</x:v>
      </x:c>
      <x:c r="M169" s="15" t="str">
        <x:v>Project/Issue</x:v>
      </x:c>
      <x:c r="N169" s="15" t="str">
        <x:v>Cell can update</x:v>
      </x:c>
      <x:c r="O169" s="15" t="str">
        <x:v>Test + artifact</x:v>
      </x:c>
    </x:row>
    <x:row r="170">
      <x:c r="A170" s="15" t="str">
        <x:v>P11-008</x:v>
      </x:c>
      <x:c r="B170" s="15" t="str">
        <x:v>P11</x:v>
      </x:c>
      <x:c r="C170" s="15" t="str">
        <x:v>CELL Mesh</x:v>
      </x:c>
      <x:c r="D170" s="15" t="str">
        <x:v>Scheduling</x:v>
      </x:c>
      <x:c r="E170" s="15" t="str">
        <x:v>Implement locality-aware remote execution candidate routing</x:v>
      </x:c>
      <x:c r="F170" s="15" t="str">
        <x:v>Build</x:v>
      </x:c>
      <x:c r="G170" s="15" t="str">
        <x:v>P0</x:v>
      </x:c>
      <x:c r="H170" s="15" t="str">
        <x:v>Distributed Systems Engineer</x:v>
      </x:c>
      <x:c r="I170" s="15" t="str">
        <x:v>Not Started</x:v>
      </x:c>
      <x:c r="J170" s="15" t="n">
        <x:v>3</x:v>
      </x:c>
      <x:c r="K170" s="15" t="str"/>
      <x:c r="L170" s="15" t="str">
        <x:v>Automated test, reviewed artifact or benchmark demonstrates the defined contract.</x:v>
      </x:c>
      <x:c r="M170" s="15" t="str">
        <x:v>Project/Issue</x:v>
      </x:c>
      <x:c r="N170" s="15" t="str">
        <x:v>Cell can update</x:v>
      </x:c>
      <x:c r="O170" s="15" t="str">
        <x:v>Test + artifact</x:v>
      </x:c>
    </x:row>
    <x:row r="171">
      <x:c r="A171" s="15" t="str">
        <x:v>P11-009</x:v>
      </x:c>
      <x:c r="B171" s="15" t="str">
        <x:v>P11</x:v>
      </x:c>
      <x:c r="C171" s="15" t="str">
        <x:v>CELL Mesh</x:v>
      </x:c>
      <x:c r="D171" s="15" t="str">
        <x:v>Privacy</x:v>
      </x:c>
      <x:c r="E171" s="15" t="str">
        <x:v>Enforce private-by-default namespace export rules</x:v>
      </x:c>
      <x:c r="F171" s="15" t="str">
        <x:v>Build</x:v>
      </x:c>
      <x:c r="G171" s="15" t="str">
        <x:v>P0</x:v>
      </x:c>
      <x:c r="H171" s="15" t="str">
        <x:v>Security Engineer</x:v>
      </x:c>
      <x:c r="I171" s="15" t="str">
        <x:v>Not Started</x:v>
      </x:c>
      <x:c r="J171" s="15" t="n">
        <x:v>4</x:v>
      </x:c>
      <x:c r="K171" s="15" t="str"/>
      <x:c r="L171" s="15" t="str">
        <x:v>Automated test, reviewed artifact or benchmark demonstrates the defined contract.</x:v>
      </x:c>
      <x:c r="M171" s="15" t="str">
        <x:v>Project/Issue</x:v>
      </x:c>
      <x:c r="N171" s="15" t="str">
        <x:v>Cell can update</x:v>
      </x:c>
      <x:c r="O171" s="15" t="str">
        <x:v>Test + artifact</x:v>
      </x:c>
    </x:row>
    <x:row r="172">
      <x:c r="A172" s="15" t="str">
        <x:v>P11-010</x:v>
      </x:c>
      <x:c r="B172" s="15" t="str">
        <x:v>P11</x:v>
      </x:c>
      <x:c r="C172" s="15" t="str">
        <x:v>CELL Mesh</x:v>
      </x:c>
      <x:c r="D172" s="15" t="str">
        <x:v>Observability</x:v>
      </x:c>
      <x:c r="E172" s="15" t="str">
        <x:v>Build mesh health and route inspector</x:v>
      </x:c>
      <x:c r="F172" s="15" t="str">
        <x:v>Build</x:v>
      </x:c>
      <x:c r="G172" s="15" t="str">
        <x:v>P0</x:v>
      </x:c>
      <x:c r="H172" s="15" t="str">
        <x:v>Frontend Engineer</x:v>
      </x:c>
      <x:c r="I172" s="15" t="str">
        <x:v>Not Started</x:v>
      </x:c>
      <x:c r="J172" s="15" t="n">
        <x:v>2</x:v>
      </x:c>
      <x:c r="K172" s="15" t="str"/>
      <x:c r="L172" s="15" t="str">
        <x:v>Automated test, reviewed artifact or benchmark demonstrates the defined contract.</x:v>
      </x:c>
      <x:c r="M172" s="15" t="str">
        <x:v>Project/Issue</x:v>
      </x:c>
      <x:c r="N172" s="15" t="str">
        <x:v>Cell can update</x:v>
      </x:c>
      <x:c r="O172" s="15" t="str">
        <x:v>Test + artifact</x:v>
      </x:c>
    </x:row>
    <x:row r="173">
      <x:c r="A173" s="15" t="str">
        <x:v>P11-011</x:v>
      </x:c>
      <x:c r="B173" s="15" t="str">
        <x:v>P11</x:v>
      </x:c>
      <x:c r="C173" s="15" t="str">
        <x:v>CELL Mesh</x:v>
      </x:c>
      <x:c r="D173" s="15" t="str">
        <x:v>Recovery</x:v>
      </x:c>
      <x:c r="E173" s="15" t="str">
        <x:v>Implement degraded-mode behavior when peer unavailable</x:v>
      </x:c>
      <x:c r="F173" s="15" t="str">
        <x:v>Build</x:v>
      </x:c>
      <x:c r="G173" s="15" t="str">
        <x:v>P1</x:v>
      </x:c>
      <x:c r="H173" s="15" t="str">
        <x:v>SRE</x:v>
      </x:c>
      <x:c r="I173" s="15" t="str">
        <x:v>Not Started</x:v>
      </x:c>
      <x:c r="J173" s="15" t="n">
        <x:v>3</x:v>
      </x:c>
      <x:c r="K173" s="15" t="str"/>
      <x:c r="L173" s="15" t="str">
        <x:v>Automated test, reviewed artifact or benchmark demonstrates the defined contract.</x:v>
      </x:c>
      <x:c r="M173" s="15" t="str">
        <x:v>Project/Issue</x:v>
      </x:c>
      <x:c r="N173" s="15" t="str">
        <x:v>Cell can update</x:v>
      </x:c>
      <x:c r="O173" s="15" t="str">
        <x:v>Test + artifact</x:v>
      </x:c>
    </x:row>
    <x:row r="174">
      <x:c r="A174" s="15" t="str">
        <x:v>P11-012</x:v>
      </x:c>
      <x:c r="B174" s="15" t="str">
        <x:v>P11</x:v>
      </x:c>
      <x:c r="C174" s="15" t="str">
        <x:v>CELL Mesh</x:v>
      </x:c>
      <x:c r="D174" s="15" t="str">
        <x:v>QA</x:v>
      </x:c>
      <x:c r="E174" s="15" t="str">
        <x:v>Build two-node federation security/evidence tests</x:v>
      </x:c>
      <x:c r="F174" s="15" t="str">
        <x:v>Build</x:v>
      </x:c>
      <x:c r="G174" s="15" t="str">
        <x:v>P1</x:v>
      </x:c>
      <x:c r="H174" s="15" t="str">
        <x:v>Security QA</x:v>
      </x:c>
      <x:c r="I174" s="15" t="str">
        <x:v>Not Started</x:v>
      </x:c>
      <x:c r="J174" s="15" t="n">
        <x:v>4</x:v>
      </x:c>
      <x:c r="K174" s="15" t="str"/>
      <x:c r="L174" s="15" t="str">
        <x:v>Automated test, reviewed artifact or benchmark demonstrates the defined contract.</x:v>
      </x:c>
      <x:c r="M174" s="15" t="str">
        <x:v>Project/Issue</x:v>
      </x:c>
      <x:c r="N174" s="15" t="str">
        <x:v>Cell can update</x:v>
      </x:c>
      <x:c r="O174" s="15" t="str">
        <x:v>Test + artifact</x:v>
      </x:c>
    </x:row>
    <x:row r="175">
      <x:c r="A175" s="15" t="str">
        <x:v>P11-013</x:v>
      </x:c>
      <x:c r="B175" s="15" t="str">
        <x:v>P11</x:v>
      </x:c>
      <x:c r="C175" s="15" t="str">
        <x:v>CELL Mesh</x:v>
      </x:c>
      <x:c r="D175" s="15" t="str">
        <x:v>Research</x:v>
      </x:c>
      <x:c r="E175" s="15" t="str">
        <x:v>Benchmark routed federation vs naive broadcast</x:v>
      </x:c>
      <x:c r="F175" s="15" t="str">
        <x:v>Research</x:v>
      </x:c>
      <x:c r="G175" s="15" t="str">
        <x:v>P1</x:v>
      </x:c>
      <x:c r="H175" s="15" t="str">
        <x:v>Performance Engineer</x:v>
      </x:c>
      <x:c r="I175" s="15" t="str">
        <x:v>Not Started</x:v>
      </x:c>
      <x:c r="J175" s="15" t="n">
        <x:v>2</x:v>
      </x:c>
      <x:c r="K175" s="15" t="str"/>
      <x:c r="L175" s="15" t="str">
        <x:v>Automated test, reviewed artifact or benchmark demonstrates the defined contract.</x:v>
      </x:c>
      <x:c r="M175" s="15" t="str">
        <x:v>Project/Issue</x:v>
      </x:c>
      <x:c r="N175" s="15" t="str">
        <x:v>Cell can update</x:v>
      </x:c>
      <x:c r="O175" s="15" t="str">
        <x:v>Test + artifact</x:v>
      </x:c>
    </x:row>
    <x:row r="176">
      <x:c r="A176" s="15" t="str">
        <x:v>P12-001</x:v>
      </x:c>
      <x:c r="B176" s="15" t="str">
        <x:v>P12</x:v>
      </x:c>
      <x:c r="C176" s="15" t="str">
        <x:v>Organism &amp; Self-Hosting</x:v>
      </x:c>
      <x:c r="D176" s="15" t="str">
        <x:v>Organism</x:v>
      </x:c>
      <x:c r="E176" s="15" t="str">
        <x:v>Define persistent Organism object and homeostatic targets</x:v>
      </x:c>
      <x:c r="F176" s="15" t="str">
        <x:v>Build</x:v>
      </x:c>
      <x:c r="G176" s="15" t="str">
        <x:v>P0</x:v>
      </x:c>
      <x:c r="H176" s="15" t="str">
        <x:v>Systems Architect</x:v>
      </x:c>
      <x:c r="I176" s="15" t="str">
        <x:v>Not Started</x:v>
      </x:c>
      <x:c r="J176" s="15" t="n">
        <x:v>2</x:v>
      </x:c>
      <x:c r="K176" s="15" t="str"/>
      <x:c r="L176" s="15" t="str">
        <x:v>Automated test, reviewed artifact or benchmark demonstrates the defined contract.</x:v>
      </x:c>
      <x:c r="M176" s="15" t="str">
        <x:v>Project/Issue</x:v>
      </x:c>
      <x:c r="N176" s="15" t="str">
        <x:v>Cell can update</x:v>
      </x:c>
      <x:c r="O176" s="15" t="str">
        <x:v>Test + artifact</x:v>
      </x:c>
    </x:row>
    <x:row r="177">
      <x:c r="A177" s="15" t="str">
        <x:v>P12-002</x:v>
      </x:c>
      <x:c r="B177" s="15" t="str">
        <x:v>P12</x:v>
      </x:c>
      <x:c r="C177" s="15" t="str">
        <x:v>Organism &amp; Self-Hosting</x:v>
      </x:c>
      <x:c r="D177" s="15" t="str">
        <x:v>Organism</x:v>
      </x:c>
      <x:c r="E177" s="15" t="str">
        <x:v>Implement persistent Cell topology and mission portfolio</x:v>
      </x:c>
      <x:c r="F177" s="15" t="str">
        <x:v>Build</x:v>
      </x:c>
      <x:c r="G177" s="15" t="str">
        <x:v>P0</x:v>
      </x:c>
      <x:c r="H177" s="15" t="str">
        <x:v>Platform Engineer</x:v>
      </x:c>
      <x:c r="I177" s="15" t="str">
        <x:v>Not Started</x:v>
      </x:c>
      <x:c r="J177" s="15" t="n">
        <x:v>3</x:v>
      </x:c>
      <x:c r="K177" s="15" t="str"/>
      <x:c r="L177" s="15" t="str">
        <x:v>Automated test, reviewed artifact or benchmark demonstrates the defined contract.</x:v>
      </x:c>
      <x:c r="M177" s="15" t="str">
        <x:v>Project/Issue</x:v>
      </x:c>
      <x:c r="N177" s="15" t="str">
        <x:v>Cell can update</x:v>
      </x:c>
      <x:c r="O177" s="15" t="str">
        <x:v>Test + artifact</x:v>
      </x:c>
    </x:row>
    <x:row r="178">
      <x:c r="A178" s="15" t="str">
        <x:v>P12-003</x:v>
      </x:c>
      <x:c r="B178" s="15" t="str">
        <x:v>P12</x:v>
      </x:c>
      <x:c r="C178" s="15" t="str">
        <x:v>Organism &amp; Self-Hosting</x:v>
      </x:c>
      <x:c r="D178" s="15" t="str">
        <x:v>Homeostasis</x:v>
      </x:c>
      <x:c r="E178" s="15" t="str">
        <x:v>Define health metrics for reliability, cost, backlog, evidence and knowledge</x:v>
      </x:c>
      <x:c r="F178" s="15" t="str">
        <x:v>Build</x:v>
      </x:c>
      <x:c r="G178" s="15" t="str">
        <x:v>P0</x:v>
      </x:c>
      <x:c r="H178" s="15" t="str">
        <x:v>SRE</x:v>
      </x:c>
      <x:c r="I178" s="15" t="str">
        <x:v>Not Started</x:v>
      </x:c>
      <x:c r="J178" s="15" t="n">
        <x:v>4</x:v>
      </x:c>
      <x:c r="K178" s="15" t="str"/>
      <x:c r="L178" s="15" t="str">
        <x:v>Automated test, reviewed artifact or benchmark demonstrates the defined contract.</x:v>
      </x:c>
      <x:c r="M178" s="15" t="str">
        <x:v>Project/Issue</x:v>
      </x:c>
      <x:c r="N178" s="15" t="str">
        <x:v>Cell can update</x:v>
      </x:c>
      <x:c r="O178" s="15" t="str">
        <x:v>Test + artifact</x:v>
      </x:c>
    </x:row>
    <x:row r="179">
      <x:c r="A179" s="15" t="str">
        <x:v>P12-004</x:v>
      </x:c>
      <x:c r="B179" s="15" t="str">
        <x:v>P12</x:v>
      </x:c>
      <x:c r="C179" s="15" t="str">
        <x:v>Organism &amp; Self-Hosting</x:v>
      </x:c>
      <x:c r="D179" s="15" t="str">
        <x:v>Restructuring</x:v>
      </x:c>
      <x:c r="E179" s="15" t="str">
        <x:v>Generate structural-change proposals without direct authority</x:v>
      </x:c>
      <x:c r="F179" s="15" t="str">
        <x:v>Build</x:v>
      </x:c>
      <x:c r="G179" s="15" t="str">
        <x:v>P0</x:v>
      </x:c>
      <x:c r="H179" s="15" t="str">
        <x:v>Agent Architect</x:v>
      </x:c>
      <x:c r="I179" s="15" t="str">
        <x:v>Not Started</x:v>
      </x:c>
      <x:c r="J179" s="15" t="n">
        <x:v>2</x:v>
      </x:c>
      <x:c r="K179" s="15" t="str"/>
      <x:c r="L179" s="15" t="str">
        <x:v>Automated test, reviewed artifact or benchmark demonstrates the defined contract.</x:v>
      </x:c>
      <x:c r="M179" s="15" t="str">
        <x:v>Project/Issue</x:v>
      </x:c>
      <x:c r="N179" s="15" t="str">
        <x:v>Cell can update</x:v>
      </x:c>
      <x:c r="O179" s="15" t="str">
        <x:v>Test + artifact</x:v>
      </x:c>
    </x:row>
    <x:row r="180">
      <x:c r="A180" s="15" t="str">
        <x:v>P12-005</x:v>
      </x:c>
      <x:c r="B180" s="15" t="str">
        <x:v>P12</x:v>
      </x:c>
      <x:c r="C180" s="15" t="str">
        <x:v>Organism &amp; Self-Hosting</x:v>
      </x:c>
      <x:c r="D180" s="15" t="str">
        <x:v>Restructuring</x:v>
      </x:c>
      <x:c r="E180" s="15" t="str">
        <x:v>Evaluate structural proposals in shadow</x:v>
      </x:c>
      <x:c r="F180" s="15" t="str">
        <x:v>Build</x:v>
      </x:c>
      <x:c r="G180" s="15" t="str">
        <x:v>P0</x:v>
      </x:c>
      <x:c r="H180" s="15" t="str">
        <x:v>AI Research Engineer</x:v>
      </x:c>
      <x:c r="I180" s="15" t="str">
        <x:v>Not Started</x:v>
      </x:c>
      <x:c r="J180" s="15" t="n">
        <x:v>3</x:v>
      </x:c>
      <x:c r="K180" s="15" t="str"/>
      <x:c r="L180" s="15" t="str">
        <x:v>Automated test, reviewed artifact or benchmark demonstrates the defined contract.</x:v>
      </x:c>
      <x:c r="M180" s="15" t="str">
        <x:v>Project/Issue</x:v>
      </x:c>
      <x:c r="N180" s="15" t="str">
        <x:v>Cell can update</x:v>
      </x:c>
      <x:c r="O180" s="15" t="str">
        <x:v>Test + artifact</x:v>
      </x:c>
    </x:row>
    <x:row r="181">
      <x:c r="A181" s="15" t="str">
        <x:v>P12-006</x:v>
      </x:c>
      <x:c r="B181" s="15" t="str">
        <x:v>P12</x:v>
      </x:c>
      <x:c r="C181" s="15" t="str">
        <x:v>Organism &amp; Self-Hosting</x:v>
      </x:c>
      <x:c r="D181" s="15" t="str">
        <x:v>Self-host</x:v>
      </x:c>
      <x:c r="E181" s="15" t="str">
        <x:v>Create CELL OS Reliability Cell blueprint</x:v>
      </x:c>
      <x:c r="F181" s="15" t="str">
        <x:v>Build</x:v>
      </x:c>
      <x:c r="G181" s="15" t="str">
        <x:v>P0</x:v>
      </x:c>
      <x:c r="H181" s="15" t="str">
        <x:v>Agent Architect</x:v>
      </x:c>
      <x:c r="I181" s="15" t="str">
        <x:v>Not Started</x:v>
      </x:c>
      <x:c r="J181" s="15" t="n">
        <x:v>4</x:v>
      </x:c>
      <x:c r="K181" s="15" t="str"/>
      <x:c r="L181" s="15" t="str">
        <x:v>Automated test, reviewed artifact or benchmark demonstrates the defined contract.</x:v>
      </x:c>
      <x:c r="M181" s="15" t="str">
        <x:v>Project/Issue</x:v>
      </x:c>
      <x:c r="N181" s="15" t="str">
        <x:v>Cell can update</x:v>
      </x:c>
      <x:c r="O181" s="15" t="str">
        <x:v>Test + artifact</x:v>
      </x:c>
    </x:row>
    <x:row r="182">
      <x:c r="A182" s="15" t="str">
        <x:v>P12-007</x:v>
      </x:c>
      <x:c r="B182" s="15" t="str">
        <x:v>P12</x:v>
      </x:c>
      <x:c r="C182" s="15" t="str">
        <x:v>Organism &amp; Self-Hosting</x:v>
      </x:c>
      <x:c r="D182" s="15" t="str">
        <x:v>Self-host</x:v>
      </x:c>
      <x:c r="E182" s="15" t="str">
        <x:v>Detect platform faults and produce diagnosis/evidence</x:v>
      </x:c>
      <x:c r="F182" s="15" t="str">
        <x:v>Build</x:v>
      </x:c>
      <x:c r="G182" s="15" t="str">
        <x:v>P0</x:v>
      </x:c>
      <x:c r="H182" s="15" t="str">
        <x:v>SRE</x:v>
      </x:c>
      <x:c r="I182" s="15" t="str">
        <x:v>Not Started</x:v>
      </x:c>
      <x:c r="J182" s="15" t="n">
        <x:v>2</x:v>
      </x:c>
      <x:c r="K182" s="15" t="str"/>
      <x:c r="L182" s="15" t="str">
        <x:v>Automated test, reviewed artifact or benchmark demonstrates the defined contract.</x:v>
      </x:c>
      <x:c r="M182" s="15" t="str">
        <x:v>Project/Issue</x:v>
      </x:c>
      <x:c r="N182" s="15" t="str">
        <x:v>Cell can update</x:v>
      </x:c>
      <x:c r="O182" s="15" t="str">
        <x:v>Test + artifact</x:v>
      </x:c>
    </x:row>
    <x:row r="183">
      <x:c r="A183" s="15" t="str">
        <x:v>P12-008</x:v>
      </x:c>
      <x:c r="B183" s="15" t="str">
        <x:v>P12</x:v>
      </x:c>
      <x:c r="C183" s="15" t="str">
        <x:v>Organism &amp; Self-Hosting</x:v>
      </x:c>
      <x:c r="D183" s="15" t="str">
        <x:v>Self-host</x:v>
      </x:c>
      <x:c r="E183" s="15" t="str">
        <x:v>Implement restart/rollback/quarantine/last-certified recovery actions</x:v>
      </x:c>
      <x:c r="F183" s="15" t="str">
        <x:v>Build</x:v>
      </x:c>
      <x:c r="G183" s="15" t="str">
        <x:v>P0</x:v>
      </x:c>
      <x:c r="H183" s="15" t="str">
        <x:v>SRE</x:v>
      </x:c>
      <x:c r="I183" s="15" t="str">
        <x:v>Not Started</x:v>
      </x:c>
      <x:c r="J183" s="15" t="n">
        <x:v>3</x:v>
      </x:c>
      <x:c r="K183" s="15" t="str"/>
      <x:c r="L183" s="15" t="str">
        <x:v>Automated test, reviewed artifact or benchmark demonstrates the defined contract.</x:v>
      </x:c>
      <x:c r="M183" s="15" t="str">
        <x:v>Project/Issue</x:v>
      </x:c>
      <x:c r="N183" s="15" t="str">
        <x:v>Cell can update</x:v>
      </x:c>
      <x:c r="O183" s="15" t="str">
        <x:v>Test + artifact</x:v>
      </x:c>
    </x:row>
    <x:row r="184">
      <x:c r="A184" s="15" t="str">
        <x:v>P12-009</x:v>
      </x:c>
      <x:c r="B184" s="15" t="str">
        <x:v>P12</x:v>
      </x:c>
      <x:c r="C184" s="15" t="str">
        <x:v>Organism &amp; Self-Hosting</x:v>
      </x:c>
      <x:c r="D184" s="15" t="str">
        <x:v>Self-host</x:v>
      </x:c>
      <x:c r="E184" s="15" t="str">
        <x:v>Gate repair PRs and production changes through humans/policy</x:v>
      </x:c>
      <x:c r="F184" s="15" t="str">
        <x:v>Build</x:v>
      </x:c>
      <x:c r="G184" s="15" t="str">
        <x:v>P0</x:v>
      </x:c>
      <x:c r="H184" s="15" t="str">
        <x:v>Security Engineer</x:v>
      </x:c>
      <x:c r="I184" s="15" t="str">
        <x:v>Not Started</x:v>
      </x:c>
      <x:c r="J184" s="15" t="n">
        <x:v>4</x:v>
      </x:c>
      <x:c r="K184" s="15" t="str"/>
      <x:c r="L184" s="15" t="str">
        <x:v>Automated test, reviewed artifact or benchmark demonstrates the defined contract.</x:v>
      </x:c>
      <x:c r="M184" s="15" t="str">
        <x:v>Project/Issue</x:v>
      </x:c>
      <x:c r="N184" s="15" t="str">
        <x:v>Cell can update</x:v>
      </x:c>
      <x:c r="O184" s="15" t="str">
        <x:v>Test + artifact</x:v>
      </x:c>
    </x:row>
    <x:row r="185">
      <x:c r="A185" s="15" t="str">
        <x:v>P12-010</x:v>
      </x:c>
      <x:c r="B185" s="15" t="str">
        <x:v>P12</x:v>
      </x:c>
      <x:c r="C185" s="15" t="str">
        <x:v>Organism &amp; Self-Hosting</x:v>
      </x:c>
      <x:c r="D185" s="15" t="str">
        <x:v>Self-host</x:v>
      </x:c>
      <x:c r="E185" s="15" t="str">
        <x:v>Replay platform incidents against Reliability Cell</x:v>
      </x:c>
      <x:c r="F185" s="15" t="str">
        <x:v>Build</x:v>
      </x:c>
      <x:c r="G185" s="15" t="str">
        <x:v>P1</x:v>
      </x:c>
      <x:c r="H185" s="15" t="str">
        <x:v>QA Engineer</x:v>
      </x:c>
      <x:c r="I185" s="15" t="str">
        <x:v>Not Started</x:v>
      </x:c>
      <x:c r="J185" s="15" t="n">
        <x:v>2</x:v>
      </x:c>
      <x:c r="K185" s="15" t="str"/>
      <x:c r="L185" s="15" t="str">
        <x:v>Automated test, reviewed artifact or benchmark demonstrates the defined contract.</x:v>
      </x:c>
      <x:c r="M185" s="15" t="str">
        <x:v>Project/Issue</x:v>
      </x:c>
      <x:c r="N185" s="15" t="str">
        <x:v>Cell can update</x:v>
      </x:c>
      <x:c r="O185" s="15" t="str">
        <x:v>Test + artifact</x:v>
      </x:c>
    </x:row>
    <x:row r="186">
      <x:c r="A186" s="15" t="str">
        <x:v>P12-011</x:v>
      </x:c>
      <x:c r="B186" s="15" t="str">
        <x:v>P12</x:v>
      </x:c>
      <x:c r="C186" s="15" t="str">
        <x:v>Organism &amp; Self-Hosting</x:v>
      </x:c>
      <x:c r="D186" s="15" t="str">
        <x:v>Doctrine</x:v>
      </x:c>
      <x:c r="E186" s="15" t="str">
        <x:v>Write accepted self-maintenance lessons to governed knowledge</x:v>
      </x:c>
      <x:c r="F186" s="15" t="str">
        <x:v>Build</x:v>
      </x:c>
      <x:c r="G186" s="15" t="str">
        <x:v>P1</x:v>
      </x:c>
      <x:c r="H186" s="15" t="str">
        <x:v>Knowledge Engineer</x:v>
      </x:c>
      <x:c r="I186" s="15" t="str">
        <x:v>Not Started</x:v>
      </x:c>
      <x:c r="J186" s="15" t="n">
        <x:v>3</x:v>
      </x:c>
      <x:c r="K186" s="15" t="str"/>
      <x:c r="L186" s="15" t="str">
        <x:v>Automated test, reviewed artifact or benchmark demonstrates the defined contract.</x:v>
      </x:c>
      <x:c r="M186" s="15" t="str">
        <x:v>Project/Issue</x:v>
      </x:c>
      <x:c r="N186" s="15" t="str">
        <x:v>Cell can update</x:v>
      </x:c>
      <x:c r="O186" s="15" t="str">
        <x:v>Test + artifact</x:v>
      </x:c>
    </x:row>
    <x:row r="187">
      <x:c r="A187" s="15" t="str">
        <x:v>P12-012</x:v>
      </x:c>
      <x:c r="B187" s="15" t="str">
        <x:v>P12</x:v>
      </x:c>
      <x:c r="C187" s="15" t="str">
        <x:v>Organism &amp; Self-Hosting</x:v>
      </x:c>
      <x:c r="D187" s="15" t="str">
        <x:v>Operations</x:v>
      </x:c>
      <x:c r="E187" s="15" t="str">
        <x:v>Build organization-level operating brief</x:v>
      </x:c>
      <x:c r="F187" s="15" t="str">
        <x:v>Build</x:v>
      </x:c>
      <x:c r="G187" s="15" t="str">
        <x:v>P1</x:v>
      </x:c>
      <x:c r="H187" s="15" t="str">
        <x:v>Frontend Engineer</x:v>
      </x:c>
      <x:c r="I187" s="15" t="str">
        <x:v>Not Started</x:v>
      </x:c>
      <x:c r="J187" s="15" t="n">
        <x:v>4</x:v>
      </x:c>
      <x:c r="K187" s="15" t="str"/>
      <x:c r="L187" s="15" t="str">
        <x:v>Automated test, reviewed artifact or benchmark demonstrates the defined contract.</x:v>
      </x:c>
      <x:c r="M187" s="15" t="str">
        <x:v>Project/Issue</x:v>
      </x:c>
      <x:c r="N187" s="15" t="str">
        <x:v>Cell can update</x:v>
      </x:c>
      <x:c r="O187" s="15" t="str">
        <x:v>Test + artifact</x:v>
      </x:c>
    </x:row>
    <x:row r="188">
      <x:c r="A188" s="15" t="str">
        <x:v>P13-001</x:v>
      </x:c>
      <x:c r="B188" s="15" t="str">
        <x:v>P13</x:v>
      </x:c>
      <x:c r="C188" s="15" t="str">
        <x:v>v1 Release</x:v>
      </x:c>
      <x:c r="D188" s="15" t="str">
        <x:v>Security</x:v>
      </x:c>
      <x:c r="E188" s="15" t="str">
        <x:v>Complete threat-model remediation and penetration test</x:v>
      </x:c>
      <x:c r="F188" s="15" t="str">
        <x:v>Build</x:v>
      </x:c>
      <x:c r="G188" s="15" t="str">
        <x:v>P0</x:v>
      </x:c>
      <x:c r="H188" s="15" t="str">
        <x:v>Security Engineer</x:v>
      </x:c>
      <x:c r="I188" s="15" t="str">
        <x:v>Not Started</x:v>
      </x:c>
      <x:c r="J188" s="15" t="n">
        <x:v>2</x:v>
      </x:c>
      <x:c r="K188" s="15" t="str"/>
      <x:c r="L188" s="15" t="str">
        <x:v>Automated test, reviewed artifact or benchmark demonstrates the defined contract.</x:v>
      </x:c>
      <x:c r="M188" s="15" t="str">
        <x:v>Project/Issue</x:v>
      </x:c>
      <x:c r="N188" s="15" t="str">
        <x:v>Cell can update</x:v>
      </x:c>
      <x:c r="O188" s="15" t="str">
        <x:v>Test + artifact</x:v>
      </x:c>
    </x:row>
    <x:row r="189">
      <x:c r="A189" s="15" t="str">
        <x:v>P13-002</x:v>
      </x:c>
      <x:c r="B189" s="15" t="str">
        <x:v>P13</x:v>
      </x:c>
      <x:c r="C189" s="15" t="str">
        <x:v>v1 Release</x:v>
      </x:c>
      <x:c r="D189" s="15" t="str">
        <x:v>Security</x:v>
      </x:c>
      <x:c r="E189" s="15" t="str">
        <x:v>Run secrets, tenant isolation and privilege-escalation audit</x:v>
      </x:c>
      <x:c r="F189" s="15" t="str">
        <x:v>Build</x:v>
      </x:c>
      <x:c r="G189" s="15" t="str">
        <x:v>P0</x:v>
      </x:c>
      <x:c r="H189" s="15" t="str">
        <x:v>Security Engineer</x:v>
      </x:c>
      <x:c r="I189" s="15" t="str">
        <x:v>Not Started</x:v>
      </x:c>
      <x:c r="J189" s="15" t="n">
        <x:v>3</x:v>
      </x:c>
      <x:c r="K189" s="15" t="str"/>
      <x:c r="L189" s="15" t="str">
        <x:v>Automated test, reviewed artifact or benchmark demonstrates the defined contract.</x:v>
      </x:c>
      <x:c r="M189" s="15" t="str">
        <x:v>Project/Issue</x:v>
      </x:c>
      <x:c r="N189" s="15" t="str">
        <x:v>Cell can update</x:v>
      </x:c>
      <x:c r="O189" s="15" t="str">
        <x:v>Test + artifact</x:v>
      </x:c>
    </x:row>
    <x:row r="190">
      <x:c r="A190" s="15" t="str">
        <x:v>P13-003</x:v>
      </x:c>
      <x:c r="B190" s="15" t="str">
        <x:v>P13</x:v>
      </x:c>
      <x:c r="C190" s="15" t="str">
        <x:v>v1 Release</x:v>
      </x:c>
      <x:c r="D190" s="15" t="str">
        <x:v>Reliability</x:v>
      </x:c>
      <x:c r="E190" s="15" t="str">
        <x:v>Define and validate service SLOs/SLA-facing metrics</x:v>
      </x:c>
      <x:c r="F190" s="15" t="str">
        <x:v>Build</x:v>
      </x:c>
      <x:c r="G190" s="15" t="str">
        <x:v>P0</x:v>
      </x:c>
      <x:c r="H190" s="15" t="str">
        <x:v>SRE</x:v>
      </x:c>
      <x:c r="I190" s="15" t="str">
        <x:v>Not Started</x:v>
      </x:c>
      <x:c r="J190" s="15" t="n">
        <x:v>4</x:v>
      </x:c>
      <x:c r="K190" s="15" t="str"/>
      <x:c r="L190" s="15" t="str">
        <x:v>Automated test, reviewed artifact or benchmark demonstrates the defined contract.</x:v>
      </x:c>
      <x:c r="M190" s="15" t="str">
        <x:v>Project/Issue</x:v>
      </x:c>
      <x:c r="N190" s="15" t="str">
        <x:v>Cell can update</x:v>
      </x:c>
      <x:c r="O190" s="15" t="str">
        <x:v>Test + artifact</x:v>
      </x:c>
    </x:row>
    <x:row r="191">
      <x:c r="A191" s="15" t="str">
        <x:v>P13-004</x:v>
      </x:c>
      <x:c r="B191" s="15" t="str">
        <x:v>P13</x:v>
      </x:c>
      <x:c r="C191" s="15" t="str">
        <x:v>v1 Release</x:v>
      </x:c>
      <x:c r="D191" s="15" t="str">
        <x:v>Reliability</x:v>
      </x:c>
      <x:c r="E191" s="15" t="str">
        <x:v>Run failover, restore and disaster-recovery exercises</x:v>
      </x:c>
      <x:c r="F191" s="15" t="str">
        <x:v>Build</x:v>
      </x:c>
      <x:c r="G191" s="15" t="str">
        <x:v>P0</x:v>
      </x:c>
      <x:c r="H191" s="15" t="str">
        <x:v>SRE</x:v>
      </x:c>
      <x:c r="I191" s="15" t="str">
        <x:v>Not Started</x:v>
      </x:c>
      <x:c r="J191" s="15" t="n">
        <x:v>2</x:v>
      </x:c>
      <x:c r="K191" s="15" t="str"/>
      <x:c r="L191" s="15" t="str">
        <x:v>Automated test, reviewed artifact or benchmark demonstrates the defined contract.</x:v>
      </x:c>
      <x:c r="M191" s="15" t="str">
        <x:v>Project/Issue</x:v>
      </x:c>
      <x:c r="N191" s="15" t="str">
        <x:v>Cell can update</x:v>
      </x:c>
      <x:c r="O191" s="15" t="str">
        <x:v>Test + artifact</x:v>
      </x:c>
    </x:row>
    <x:row r="192">
      <x:c r="A192" s="15" t="str">
        <x:v>P13-005</x:v>
      </x:c>
      <x:c r="B192" s="15" t="str">
        <x:v>P13</x:v>
      </x:c>
      <x:c r="C192" s="15" t="str">
        <x:v>v1 Release</x:v>
      </x:c>
      <x:c r="D192" s="15" t="str">
        <x:v>Performance</x:v>
      </x:c>
      <x:c r="E192" s="15" t="str">
        <x:v>Load-test scheduler, WorkGraph, CellBus and Evidence Ledger</x:v>
      </x:c>
      <x:c r="F192" s="15" t="str">
        <x:v>Build</x:v>
      </x:c>
      <x:c r="G192" s="15" t="str">
        <x:v>P0</x:v>
      </x:c>
      <x:c r="H192" s="15" t="str">
        <x:v>Performance Engineer</x:v>
      </x:c>
      <x:c r="I192" s="15" t="str">
        <x:v>Not Started</x:v>
      </x:c>
      <x:c r="J192" s="15" t="n">
        <x:v>3</x:v>
      </x:c>
      <x:c r="K192" s="15" t="str"/>
      <x:c r="L192" s="15" t="str">
        <x:v>Automated test, reviewed artifact or benchmark demonstrates the defined contract.</x:v>
      </x:c>
      <x:c r="M192" s="15" t="str">
        <x:v>Project/Issue</x:v>
      </x:c>
      <x:c r="N192" s="15" t="str">
        <x:v>Cell can update</x:v>
      </x:c>
      <x:c r="O192" s="15" t="str">
        <x:v>Test + artifact</x:v>
      </x:c>
    </x:row>
    <x:row r="193">
      <x:c r="A193" s="15" t="str">
        <x:v>P13-006</x:v>
      </x:c>
      <x:c r="B193" s="15" t="str">
        <x:v>P13</x:v>
      </x:c>
      <x:c r="C193" s="15" t="str">
        <x:v>v1 Release</x:v>
      </x:c>
      <x:c r="D193" s="15" t="str">
        <x:v>Performance</x:v>
      </x:c>
      <x:c r="E193" s="15" t="str">
        <x:v>Establish latency/cost baselines and regression budgets</x:v>
      </x:c>
      <x:c r="F193" s="15" t="str">
        <x:v>Build</x:v>
      </x:c>
      <x:c r="G193" s="15" t="str">
        <x:v>P0</x:v>
      </x:c>
      <x:c r="H193" s="15" t="str">
        <x:v>Performance Engineer</x:v>
      </x:c>
      <x:c r="I193" s="15" t="str">
        <x:v>Not Started</x:v>
      </x:c>
      <x:c r="J193" s="15" t="n">
        <x:v>4</x:v>
      </x:c>
      <x:c r="K193" s="15" t="str"/>
      <x:c r="L193" s="15" t="str">
        <x:v>Automated test, reviewed artifact or benchmark demonstrates the defined contract.</x:v>
      </x:c>
      <x:c r="M193" s="15" t="str">
        <x:v>Project/Issue</x:v>
      </x:c>
      <x:c r="N193" s="15" t="str">
        <x:v>Cell can update</x:v>
      </x:c>
      <x:c r="O193" s="15" t="str">
        <x:v>Test + artifact</x:v>
      </x:c>
    </x:row>
    <x:row r="194">
      <x:c r="A194" s="15" t="str">
        <x:v>P13-007</x:v>
      </x:c>
      <x:c r="B194" s="15" t="str">
        <x:v>P13</x:v>
      </x:c>
      <x:c r="C194" s="15" t="str">
        <x:v>v1 Release</x:v>
      </x:c>
      <x:c r="D194" s="15" t="str">
        <x:v>Data</x:v>
      </x:c>
      <x:c r="E194" s="15" t="str">
        <x:v>Test backup/restore and evidence immutability guarantees</x:v>
      </x:c>
      <x:c r="F194" s="15" t="str">
        <x:v>Build</x:v>
      </x:c>
      <x:c r="G194" s="15" t="str">
        <x:v>P0</x:v>
      </x:c>
      <x:c r="H194" s="15" t="str">
        <x:v>Data Engineer</x:v>
      </x:c>
      <x:c r="I194" s="15" t="str">
        <x:v>Not Started</x:v>
      </x:c>
      <x:c r="J194" s="15" t="n">
        <x:v>2</x:v>
      </x:c>
      <x:c r="K194" s="15" t="str"/>
      <x:c r="L194" s="15" t="str">
        <x:v>Automated test, reviewed artifact or benchmark demonstrates the defined contract.</x:v>
      </x:c>
      <x:c r="M194" s="15" t="str">
        <x:v>Project/Issue</x:v>
      </x:c>
      <x:c r="N194" s="15" t="str">
        <x:v>Cell can update</x:v>
      </x:c>
      <x:c r="O194" s="15" t="str">
        <x:v>Test + artifact</x:v>
      </x:c>
    </x:row>
    <x:row r="195">
      <x:c r="A195" s="15" t="str">
        <x:v>P13-008</x:v>
      </x:c>
      <x:c r="B195" s="15" t="str">
        <x:v>P13</x:v>
      </x:c>
      <x:c r="C195" s="15" t="str">
        <x:v>v1 Release</x:v>
      </x:c>
      <x:c r="D195" s="15" t="str">
        <x:v>UX</x:v>
      </x:c>
      <x:c r="E195" s="15" t="str">
        <x:v>Complete accessibility and critical-task usability audit</x:v>
      </x:c>
      <x:c r="F195" s="15" t="str">
        <x:v>Build</x:v>
      </x:c>
      <x:c r="G195" s="15" t="str">
        <x:v>P0</x:v>
      </x:c>
      <x:c r="H195" s="15" t="str">
        <x:v>UX Researcher</x:v>
      </x:c>
      <x:c r="I195" s="15" t="str">
        <x:v>Not Started</x:v>
      </x:c>
      <x:c r="J195" s="15" t="n">
        <x:v>3</x:v>
      </x:c>
      <x:c r="K195" s="15" t="str"/>
      <x:c r="L195" s="15" t="str">
        <x:v>Automated test, reviewed artifact or benchmark demonstrates the defined contract.</x:v>
      </x:c>
      <x:c r="M195" s="15" t="str">
        <x:v>Project/Issue</x:v>
      </x:c>
      <x:c r="N195" s="15" t="str">
        <x:v>Cell can update</x:v>
      </x:c>
      <x:c r="O195" s="15" t="str">
        <x:v>Test + artifact</x:v>
      </x:c>
    </x:row>
    <x:row r="196">
      <x:c r="A196" s="15" t="str">
        <x:v>P13-009</x:v>
      </x:c>
      <x:c r="B196" s="15" t="str">
        <x:v>P13</x:v>
      </x:c>
      <x:c r="C196" s="15" t="str">
        <x:v>v1 Release</x:v>
      </x:c>
      <x:c r="D196" s="15" t="str">
        <x:v>Docs</x:v>
      </x:c>
      <x:c r="E196" s="15" t="str">
        <x:v>Publish operator runbook and troubleshooting guide</x:v>
      </x:c>
      <x:c r="F196" s="15" t="str">
        <x:v>Build</x:v>
      </x:c>
      <x:c r="G196" s="15" t="str">
        <x:v>P0</x:v>
      </x:c>
      <x:c r="H196" s="15" t="str">
        <x:v>Technical Writer</x:v>
      </x:c>
      <x:c r="I196" s="15" t="str">
        <x:v>Not Started</x:v>
      </x:c>
      <x:c r="J196" s="15" t="n">
        <x:v>4</x:v>
      </x:c>
      <x:c r="K196" s="15" t="str"/>
      <x:c r="L196" s="15" t="str">
        <x:v>Automated test, reviewed artifact or benchmark demonstrates the defined contract.</x:v>
      </x:c>
      <x:c r="M196" s="15" t="str">
        <x:v>Project/Issue</x:v>
      </x:c>
      <x:c r="N196" s="15" t="str">
        <x:v>Cell can update</x:v>
      </x:c>
      <x:c r="O196" s="15" t="str">
        <x:v>Test + artifact</x:v>
      </x:c>
    </x:row>
    <x:row r="197">
      <x:c r="A197" s="15" t="str">
        <x:v>P13-010</x:v>
      </x:c>
      <x:c r="B197" s="15" t="str">
        <x:v>P13</x:v>
      </x:c>
      <x:c r="C197" s="15" t="str">
        <x:v>v1 Release</x:v>
      </x:c>
      <x:c r="D197" s="15" t="str">
        <x:v>Docs</x:v>
      </x:c>
      <x:c r="E197" s="15" t="str">
        <x:v>Publish builder/developer guide and API reference</x:v>
      </x:c>
      <x:c r="F197" s="15" t="str">
        <x:v>Build</x:v>
      </x:c>
      <x:c r="G197" s="15" t="str">
        <x:v>P0</x:v>
      </x:c>
      <x:c r="H197" s="15" t="str">
        <x:v>Technical Writer</x:v>
      </x:c>
      <x:c r="I197" s="15" t="str">
        <x:v>Not Started</x:v>
      </x:c>
      <x:c r="J197" s="15" t="n">
        <x:v>2</x:v>
      </x:c>
      <x:c r="K197" s="15" t="str"/>
      <x:c r="L197" s="15" t="str">
        <x:v>Automated test, reviewed artifact or benchmark demonstrates the defined contract.</x:v>
      </x:c>
      <x:c r="M197" s="15" t="str">
        <x:v>Project/Issue</x:v>
      </x:c>
      <x:c r="N197" s="15" t="str">
        <x:v>Cell can update</x:v>
      </x:c>
      <x:c r="O197" s="15" t="str">
        <x:v>Test + artifact</x:v>
      </x:c>
    </x:row>
    <x:row r="198">
      <x:c r="A198" s="15" t="str">
        <x:v>P13-011</x:v>
      </x:c>
      <x:c r="B198" s="15" t="str">
        <x:v>P13</x:v>
      </x:c>
      <x:c r="C198" s="15" t="str">
        <x:v>v1 Release</x:v>
      </x:c>
      <x:c r="D198" s="15" t="str">
        <x:v>Docs</x:v>
      </x:c>
      <x:c r="E198" s="15" t="str">
        <x:v>Publish end-user first-run and Cell Studio guide</x:v>
      </x:c>
      <x:c r="F198" s="15" t="str">
        <x:v>Build</x:v>
      </x:c>
      <x:c r="G198" s="15" t="str">
        <x:v>P0</x:v>
      </x:c>
      <x:c r="H198" s="15" t="str">
        <x:v>Technical Writer</x:v>
      </x:c>
      <x:c r="I198" s="15" t="str">
        <x:v>Not Started</x:v>
      </x:c>
      <x:c r="J198" s="15" t="n">
        <x:v>3</x:v>
      </x:c>
      <x:c r="K198" s="15" t="str"/>
      <x:c r="L198" s="15" t="str">
        <x:v>Automated test, reviewed artifact or benchmark demonstrates the defined contract.</x:v>
      </x:c>
      <x:c r="M198" s="15" t="str">
        <x:v>Project/Issue</x:v>
      </x:c>
      <x:c r="N198" s="15" t="str">
        <x:v>Cell can update</x:v>
      </x:c>
      <x:c r="O198" s="15" t="str">
        <x:v>Test + artifact</x:v>
      </x:c>
    </x:row>
    <x:row r="199">
      <x:c r="A199" s="15" t="str">
        <x:v>P13-012</x:v>
      </x:c>
      <x:c r="B199" s="15" t="str">
        <x:v>P13</x:v>
      </x:c>
      <x:c r="C199" s="15" t="str">
        <x:v>v1 Release</x:v>
      </x:c>
      <x:c r="D199" s="15" t="str">
        <x:v>Migration</x:v>
      </x:c>
      <x:c r="E199" s="15" t="str">
        <x:v>Create upgrade/migration/version compatibility policy</x:v>
      </x:c>
      <x:c r="F199" s="15" t="str">
        <x:v>Build</x:v>
      </x:c>
      <x:c r="G199" s="15" t="str">
        <x:v>P0</x:v>
      </x:c>
      <x:c r="H199" s="15" t="str">
        <x:v>Platform Engineer</x:v>
      </x:c>
      <x:c r="I199" s="15" t="str">
        <x:v>Not Started</x:v>
      </x:c>
      <x:c r="J199" s="15" t="n">
        <x:v>4</x:v>
      </x:c>
      <x:c r="K199" s="15" t="str"/>
      <x:c r="L199" s="15" t="str">
        <x:v>Automated test, reviewed artifact or benchmark demonstrates the defined contract.</x:v>
      </x:c>
      <x:c r="M199" s="15" t="str">
        <x:v>Project/Issue</x:v>
      </x:c>
      <x:c r="N199" s="15" t="str">
        <x:v>Cell can update</x:v>
      </x:c>
      <x:c r="O199" s="15" t="str">
        <x:v>Test + artifact</x:v>
      </x:c>
    </x:row>
    <x:row r="200">
      <x:c r="A200" s="15" t="str">
        <x:v>P13-013</x:v>
      </x:c>
      <x:c r="B200" s="15" t="str">
        <x:v>P13</x:v>
      </x:c>
      <x:c r="C200" s="15" t="str">
        <x:v>v1 Release</x:v>
      </x:c>
      <x:c r="D200" s="15" t="str">
        <x:v>Beta</x:v>
      </x:c>
      <x:c r="E200" s="15" t="str">
        <x:v>Run design-partner beta with evidence-based issue triage</x:v>
      </x:c>
      <x:c r="F200" s="15" t="str">
        <x:v>Build</x:v>
      </x:c>
      <x:c r="G200" s="15" t="str">
        <x:v>P0</x:v>
      </x:c>
      <x:c r="H200" s="15" t="str">
        <x:v>Product Lead</x:v>
      </x:c>
      <x:c r="I200" s="15" t="str">
        <x:v>Not Started</x:v>
      </x:c>
      <x:c r="J200" s="15" t="n">
        <x:v>2</x:v>
      </x:c>
      <x:c r="K200" s="15" t="str"/>
      <x:c r="L200" s="15" t="str">
        <x:v>Automated test, reviewed artifact or benchmark demonstrates the defined contract.</x:v>
      </x:c>
      <x:c r="M200" s="15" t="str">
        <x:v>Project/Issue</x:v>
      </x:c>
      <x:c r="N200" s="15" t="str">
        <x:v>Cell can update</x:v>
      </x:c>
      <x:c r="O200" s="15" t="str">
        <x:v>Test + artifact</x:v>
      </x:c>
    </x:row>
    <x:row r="201">
      <x:c r="A201" s="15" t="str">
        <x:v>P13-014</x:v>
      </x:c>
      <x:c r="B201" s="15" t="str">
        <x:v>P13</x:v>
      </x:c>
      <x:c r="C201" s="15" t="str">
        <x:v>v1 Release</x:v>
      </x:c>
      <x:c r="D201" s="15" t="str">
        <x:v>Release</x:v>
      </x:c>
      <x:c r="E201" s="15" t="str">
        <x:v>Close release blockers and sign v1 readiness checklist</x:v>
      </x:c>
      <x:c r="F201" s="15" t="str">
        <x:v>Build</x:v>
      </x:c>
      <x:c r="G201" s="15" t="str">
        <x:v>P0</x:v>
      </x:c>
      <x:c r="H201" s="15" t="str">
        <x:v>Release Manager</x:v>
      </x:c>
      <x:c r="I201" s="15" t="str">
        <x:v>Not Started</x:v>
      </x:c>
      <x:c r="J201" s="15" t="n">
        <x:v>3</x:v>
      </x:c>
      <x:c r="K201" s="15" t="str"/>
      <x:c r="L201" s="15" t="str">
        <x:v>Automated test, reviewed artifact or benchmark demonstrates the defined contract.</x:v>
      </x:c>
      <x:c r="M201" s="15" t="str">
        <x:v>Project/Issue</x:v>
      </x:c>
      <x:c r="N201" s="15" t="str">
        <x:v>Cell can update</x:v>
      </x:c>
      <x:c r="O201" s="15" t="str">
        <x:v>Test + artifact</x:v>
      </x:c>
    </x:row>
  </x:sheetData>
  <x:conditionalFormatting sqref="I2:I201">
    <x:cfRule type="expression" dxfId="0" priority="1">
      <x:formula>I2="Done"</x:formula>
    </x:cfRule>
    <x:cfRule type="expression" dxfId="1" priority="2">
      <x:formula>I2="Blocked"</x:formula>
    </x:cfRule>
  </x:conditionalFormatting>
  <x:conditionalFormatting sqref="G2:G201">
    <x:cfRule type="expression" dxfId="2" priority="3">
      <x:formula>G2="P0"</x:formula>
    </x:cfRule>
  </x:conditionalFormatting>
  <x:dataValidations count="2">
    <x:dataValidation type="list" sqref="I2:I201">
      <x:formula1>"Not Started,Ready,In Progress,Blocked,In Review,Done,Cancelled"</x:formula1>
    </x:dataValidation>
    <x:dataValidation type="list" sqref="G2:G201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e699600a684fa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48" hidden="0" customWidth="1"/>
    <x:col min="4" max="4" width="28" hidden="0" customWidth="1"/>
    <x:col min="5" max="5" width="36" hidden="0" customWidth="1"/>
    <x:col min="7" max="7" width="28" hidden="0" customWidth="1"/>
    <x:col min="8" max="8" width="72" hidden="0" customWidth="1"/>
  </x:cols>
  <x:sheetData>
    <x:row r="1">
      <x:c r="A1" s="14" t="str">
        <x:v>Object</x:v>
      </x:c>
      <x:c r="B1" s="14" t="str">
        <x:v>Purpose</x:v>
      </x:c>
      <x:c r="C1" s="14" t="str">
        <x:v>Key fields</x:v>
      </x:c>
      <x:c r="D1" s="14" t="str">
        <x:v>Who can create</x:v>
      </x:c>
      <x:c r="E1" s="14" t="str">
        <x:v>Completion semantics</x:v>
      </x:c>
      <x:c r="F1" s="15"/>
      <x:c r="G1" s="14" t="str">
        <x:v>Agent-native board principles</x:v>
      </x:c>
      <x:c r="H1" s="14" t="str">
        <x:v>Rule</x:v>
      </x:c>
    </x:row>
    <x:row r="2">
      <x:c r="A2" s="15" t="str">
        <x:v>Objective</x:v>
      </x:c>
      <x:c r="B2" s="15" t="str">
        <x:v>North-star business/product outcome</x:v>
      </x:c>
      <x:c r="C2" s="15" t="str">
        <x:v>id, title, owner, target, health, evidence</x:v>
      </x:c>
      <x:c r="D2" s="15" t="str">
        <x:v>Human / authorized command Cell</x:v>
      </x:c>
      <x:c r="E2" s="15" t="str">
        <x:v>Not 'done'; remains active/retired</x:v>
      </x:c>
      <x:c r="F2" s="15"/>
      <x:c r="G2" s="15" t="str">
        <x:v>Canonical source of truth</x:v>
      </x:c>
      <x:c r="H2" s="15" t="str">
        <x:v>CELL OS WorkGraph/event ledger, not Linear or a Cell comment thread.</x:v>
      </x:c>
    </x:row>
    <x:row r="3">
      <x:c r="A3" s="15" t="str">
        <x:v>Initiative</x:v>
      </x:c>
      <x:c r="B3" s="15" t="str">
        <x:v>Strategic grouping of projects/missions</x:v>
      </x:c>
      <x:c r="C3" s="15" t="str">
        <x:v>objective_id, priority, health, target window</x:v>
      </x:c>
      <x:c r="D3" s="15" t="str">
        <x:v>Human / planning Cell</x:v>
      </x:c>
      <x:c r="E3" s="15" t="str">
        <x:v>All exit criteria met</x:v>
      </x:c>
      <x:c r="F3" s="15"/>
      <x:c r="G3" s="15" t="str">
        <x:v>Human accountability</x:v>
      </x:c>
      <x:c r="H3" s="15" t="str">
        <x:v>A Cell may execute work; a human or authorized command role owns consequential outcomes.</x:v>
      </x:c>
    </x:row>
    <x:row r="4">
      <x:c r="A4" s="15" t="str">
        <x:v>Project</x:v>
      </x:c>
      <x:c r="B4" s="15" t="str">
        <x:v>Deliverable-oriented workstream</x:v>
      </x:c>
      <x:c r="C4" s="15" t="str">
        <x:v>initiative_id, lead, milestones, status</x:v>
      </x:c>
      <x:c r="D4" s="15" t="str">
        <x:v>Human / authorized planning Cell</x:v>
      </x:c>
      <x:c r="E4" s="15" t="str">
        <x:v>Milestones + assurance criteria</x:v>
      </x:c>
      <x:c r="F4" s="15"/>
      <x:c r="G4" s="15" t="str">
        <x:v>Separate work vs run state</x:v>
      </x:c>
      <x:c r="H4" s="15" t="str">
        <x:v>A ticket can remain In Progress while one run fails and another retries.</x:v>
      </x:c>
    </x:row>
    <x:row r="5">
      <x:c r="A5" s="15" t="str">
        <x:v>Mission</x:v>
      </x:c>
      <x:c r="B5" s="15" t="str">
        <x:v>Executable outcome contract</x:v>
      </x:c>
      <x:c r="C5" s="15" t="str">
        <x:v>MissionContract, risk, authority, budget, Cell Image</x:v>
      </x:c>
      <x:c r="D5" s="15" t="str">
        <x:v>Human / compiler under scope</x:v>
      </x:c>
      <x:c r="E5" s="15" t="str">
        <x:v>VERIFIED_SUCCESS or terminal failure</x:v>
      </x:c>
      <x:c r="F5" s="15"/>
      <x:c r="G5" s="15" t="str">
        <x:v>Evidence-backed completion</x:v>
      </x:c>
      <x:c r="H5" s="15" t="str">
        <x:v>DONE is not VERIFIED_SUCCESS; required evidence must pass.</x:v>
      </x:c>
    </x:row>
    <x:row r="6">
      <x:c r="A6" s="15" t="str">
        <x:v>Work Package</x:v>
      </x:c>
      <x:c r="B6" s="15" t="str">
        <x:v>Chunk of mission scope</x:v>
      </x:c>
      <x:c r="C6" s="15" t="str">
        <x:v>parent, owner, dependencies, evidence contract</x:v>
      </x:c>
      <x:c r="D6" s="15" t="str">
        <x:v>Human / Cell under scope</x:v>
      </x:c>
      <x:c r="E6" s="15" t="str">
        <x:v>Children/evidence satisfied</x:v>
      </x:c>
      <x:c r="F6" s="15"/>
      <x:c r="G6" s="15" t="str">
        <x:v>Scoped creation</x:v>
      </x:c>
      <x:c r="H6" s="15" t="str">
        <x:v>Cells may create child tickets only within mission/namespace/budget capability.</x:v>
      </x:c>
    </x:row>
    <x:row r="7">
      <x:c r="A7" s="15" t="str">
        <x:v>Ticket</x:v>
      </x:c>
      <x:c r="B7" s="15" t="str">
        <x:v>Actionable unit of work</x:v>
      </x:c>
      <x:c r="C7" s="15" t="str">
        <x:v>priority, assignee, estimate, relations, acceptance</x:v>
      </x:c>
      <x:c r="D7" s="15" t="str">
        <x:v>Human / Cell under work.create</x:v>
      </x:c>
      <x:c r="E7" s="15" t="str">
        <x:v>Acceptance + evidence</x:v>
      </x:c>
      <x:c r="F7" s="15"/>
      <x:c r="G7" s="15" t="str">
        <x:v>Atomic claim</x:v>
      </x:c>
      <x:c r="H7" s="15" t="str">
        <x:v>Exclusive tickets use a lease/checkout so multiple Cells do not silently race.</x:v>
      </x:c>
    </x:row>
    <x:row r="8">
      <x:c r="A8" s="15" t="str">
        <x:v>Mission Node</x:v>
      </x:c>
      <x:c r="B8" s="15" t="str">
        <x:v>Runtime execution node</x:v>
      </x:c>
      <x:c r="C8" s="15" t="str">
        <x:v>run state, inputs, outputs, dependencies</x:v>
      </x:c>
      <x:c r="D8" s="15" t="str">
        <x:v>Compiler/runtime only</x:v>
      </x:c>
      <x:c r="E8" s="15" t="str">
        <x:v>Evidence gate passes</x:v>
      </x:c>
      <x:c r="F8" s="15"/>
      <x:c r="G8" s="15" t="str">
        <x:v>Shadow isolation</x:v>
      </x:c>
      <x:c r="H8" s="15" t="str">
        <x:v>Shadow runs never mutate canonical ticket state or external systems.</x:v>
      </x:c>
    </x:row>
    <x:row r="9">
      <x:c r="A9" s="15" t="str">
        <x:v>Gate</x:v>
      </x:c>
      <x:c r="B9" s="15" t="str">
        <x:v>Required authorization/evaluation</x:v>
      </x:c>
      <x:c r="C9" s="15" t="str">
        <x:v>policy, approver, evidence prerequisites</x:v>
      </x:c>
      <x:c r="D9" s="15" t="str">
        <x:v>Compiler/policy</x:v>
      </x:c>
      <x:c r="E9" s="15" t="str">
        <x:v>Explicit approve/deny/expire</x:v>
      </x:c>
      <x:c r="F9" s="15"/>
      <x:c r="G9" s="15" t="str">
        <x:v>Idempotent mutations</x:v>
      </x:c>
      <x:c r="H9" s="15" t="str">
        <x:v>All agent board updates accept idempotency keys and append audit events.</x:v>
      </x:c>
    </x:row>
    <x:row r="10">
      <x:c r="A10" s="15" t="str">
        <x:v>Decision</x:v>
      </x:c>
      <x:c r="B10" s="15" t="str">
        <x:v>Human or policy decision record</x:v>
      </x:c>
      <x:c r="C10" s="15" t="str">
        <x:v>options, rationale, evidence, actor</x:v>
      </x:c>
      <x:c r="D10" s="15" t="str">
        <x:v>Human / policy service</x:v>
      </x:c>
      <x:c r="E10" s="15" t="str">
        <x:v>Immutable decision event</x:v>
      </x:c>
      <x:c r="F10" s="15"/>
      <x:c r="G10" s="15" t="str">
        <x:v>Derived projections</x:v>
      </x:c>
      <x:c r="H10" s="15" t="str">
        <x:v>Board, list, timeline, graph, Avatar World and Linear are views over the same state.</x:v>
      </x:c>
    </x:row>
    <x:row r="11">
      <x:c r="A11" s="15" t="str">
        <x:v>Evidence Object</x:v>
      </x:c>
      <x:c r="B11" s="15" t="str">
        <x:v>Proof of claim/outcome</x:v>
      </x:c>
      <x:c r="C11" s="15" t="str">
        <x:v>type, artifact URI/hash, assertion, provenance</x:v>
      </x:c>
      <x:c r="D11" s="15" t="str">
        <x:v>Workers/Operatives/services</x:v>
      </x:c>
      <x:c r="E11" s="15" t="str">
        <x:v>Validated, append-only</x:v>
      </x:c>
      <x:c r="F11" s="15"/>
      <x:c r="G11" s="15"/>
      <x:c r="H11" s="15"/>
    </x:row>
    <x:row r="12">
      <x:c r="A12" s="15" t="str">
        <x:v>Run</x:v>
      </x:c>
      <x:c r="B12" s="15" t="str">
        <x:v>One execution attempt</x:v>
      </x:c>
      <x:c r="C12" s="15" t="str">
        <x:v>Cell Image, actors, events, costs, result</x:v>
      </x:c>
      <x:c r="D12" s="15" t="str">
        <x:v>Runtime only</x:v>
      </x:c>
      <x:c r="E12" s="15" t="str">
        <x:v>Terminal runtime state</x:v>
      </x:c>
      <x:c r="F12" s="15"/>
      <x:c r="G12" s="15"/>
      <x:c r="H12" s="1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22" hidden="0" customWidth="1"/>
    <x:col min="4" max="4" width="30" hidden="0" customWidth="1"/>
    <x:col min="5" max="5" width="60" hidden="0" customWidth="1"/>
    <x:col min="7" max="7" width="22" hidden="0" customWidth="1"/>
    <x:col min="8" max="8" width="40" hidden="0" customWidth="1"/>
    <x:col min="9" max="9" width="60" hidden="0" customWidth="1"/>
  </x:cols>
  <x:sheetData>
    <x:row r="1">
      <x:c r="A1" s="14" t="str">
        <x:v>CELL OS canonical object</x:v>
      </x:c>
      <x:c r="B1" s="14" t="str">
        <x:v>Linear projection</x:v>
      </x:c>
      <x:c r="C1" s="14" t="str">
        <x:v>Sync direction v1</x:v>
      </x:c>
      <x:c r="D1" s="14" t="str">
        <x:v>Canonical owner</x:v>
      </x:c>
      <x:c r="E1" s="14" t="str">
        <x:v>Notes</x:v>
      </x:c>
      <x:c r="F1" s="15"/>
      <x:c r="G1" s="14" t="str">
        <x:v>Pattern</x:v>
      </x:c>
      <x:c r="H1" s="14" t="str">
        <x:v>Borrow from Paperclip</x:v>
      </x:c>
      <x:c r="I1" s="14" t="str">
        <x:v>Adapt for CELL OS</x:v>
      </x:c>
    </x:row>
    <x:row r="2">
      <x:c r="A2" s="15" t="str">
        <x:v>Objective</x:v>
      </x:c>
      <x:c r="B2" s="15" t="str">
        <x:v>Initiative</x:v>
      </x:c>
      <x:c r="C2" s="15" t="str">
        <x:v>CELL -&gt; Linear</x:v>
      </x:c>
      <x:c r="D2" s="15" t="str">
        <x:v>CELL OS</x:v>
      </x:c>
      <x:c r="E2" s="15" t="str">
        <x:v>Strategic roll-up</x:v>
      </x:c>
      <x:c r="F2" s="15"/>
      <x:c r="G2" s="15" t="str">
        <x:v>Task hierarchy</x:v>
      </x:c>
      <x:c r="H2" s="15" t="str">
        <x:v>Goal -&gt; project -&gt; issue hierarchy</x:v>
      </x:c>
      <x:c r="I2" s="15" t="str">
        <x:v>Use richer WorkGraph with mission/evidence/gate/run types</x:v>
      </x:c>
    </x:row>
    <x:row r="3">
      <x:c r="A3" s="15" t="str">
        <x:v>Initiative</x:v>
      </x:c>
      <x:c r="B3" s="15" t="str">
        <x:v>Initiative / Project grouping</x:v>
      </x:c>
      <x:c r="C3" s="15" t="str">
        <x:v>Bi-directional metadata</x:v>
      </x:c>
      <x:c r="D3" s="15" t="str">
        <x:v>CELL OS for contract; Linear for human notes</x:v>
      </x:c>
      <x:c r="E3" s="15" t="str">
        <x:v>Avoid forcing all internal graph semantics into Linear</x:v>
      </x:c>
      <x:c r="F3" s="15"/>
      <x:c r="G3" s="15" t="str">
        <x:v>Agent lifecycle</x:v>
      </x:c>
      <x:c r="H3" s="15" t="str">
        <x:v>active/idle/running/error/paused/terminated</x:v>
      </x:c>
      <x:c r="I3" s="15" t="str">
        <x:v>Map to Operative/Cell runtime states; keep work-state separate</x:v>
      </x:c>
    </x:row>
    <x:row r="4">
      <x:c r="A4" s="15" t="str">
        <x:v>Project</x:v>
      </x:c>
      <x:c r="B4" s="15" t="str">
        <x:v>Project</x:v>
      </x:c>
      <x:c r="C4" s="15" t="str">
        <x:v>Bi-directional</x:v>
      </x:c>
      <x:c r="D4" s="15" t="str">
        <x:v>Shared by field</x:v>
      </x:c>
      <x:c r="E4" s="15" t="str">
        <x:v>Target dates/health useful in both</x:v>
      </x:c>
      <x:c r="F4" s="15"/>
      <x:c r="G4" s="15" t="str">
        <x:v>Budgets</x:v>
      </x:c>
      <x:c r="H4" s="15" t="str">
        <x:v>Per-agent/company budget ceilings</x:v>
      </x:c>
      <x:c r="I4" s="15" t="str">
        <x:v>Resource envelopes per Cell/Operative/mission + extension gate</x:v>
      </x:c>
    </x:row>
    <x:row r="5">
      <x:c r="A5" s="15" t="str">
        <x:v>Mission</x:v>
      </x:c>
      <x:c r="B5" s="15" t="str">
        <x:v>Project or parent Issue</x:v>
      </x:c>
      <x:c r="C5" s="15" t="str">
        <x:v>CELL -&gt; Linear initially</x:v>
      </x:c>
      <x:c r="D5" s="15" t="str">
        <x:v>CELL OS</x:v>
      </x:c>
      <x:c r="E5" s="15" t="str">
        <x:v>MissionContract stays in CELL OS</x:v>
      </x:c>
      <x:c r="F5" s="15"/>
      <x:c r="G5" s="15" t="str">
        <x:v>Approvals</x:v>
      </x:c>
      <x:c r="H5" s="15" t="str">
        <x:v>Governance queue for agent hiring/major actions</x:v>
      </x:c>
      <x:c r="I5" s="15" t="str">
        <x:v>Kernel gates for privileged capability calls, topology changes and promotion</x:v>
      </x:c>
    </x:row>
    <x:row r="6">
      <x:c r="A6" s="15" t="str">
        <x:v>Ticket</x:v>
      </x:c>
      <x:c r="B6" s="15" t="str">
        <x:v>Issue</x:v>
      </x:c>
      <x:c r="C6" s="15" t="str">
        <x:v>Bi-directional</x:v>
      </x:c>
      <x:c r="D6" s="15" t="str">
        <x:v>Field-level ownership</x:v>
      </x:c>
      <x:c r="E6" s="15" t="str">
        <x:v>Priority/status/labels/assignee/estimate mapping</x:v>
      </x:c>
      <x:c r="F6" s="15"/>
      <x:c r="G6" s="15" t="str">
        <x:v>Heartbeats</x:v>
      </x:c>
      <x:c r="H6" s="15" t="str">
        <x:v>Agents wake for assignments/schedules</x:v>
      </x:c>
      <x:c r="I6" s="15" t="str">
        <x:v>Persistent service Cells + event-driven wake; runtime should not assume chat session continuity</x:v>
      </x:c>
    </x:row>
    <x:row r="7">
      <x:c r="A7" s="15" t="str">
        <x:v>Sub-ticket</x:v>
      </x:c>
      <x:c r="B7" s="15" t="str">
        <x:v>Sub-issue</x:v>
      </x:c>
      <x:c r="C7" s="15" t="str">
        <x:v>Bi-directional</x:v>
      </x:c>
      <x:c r="D7" s="15" t="str">
        <x:v>Field-level ownership</x:v>
      </x:c>
      <x:c r="E7" s="15" t="str">
        <x:v>Preserve parent chain</x:v>
      </x:c>
      <x:c r="F7" s="15"/>
      <x:c r="G7" s="15" t="str">
        <x:v>Atomic checkout</x:v>
      </x:c>
      <x:c r="H7" s="15" t="str">
        <x:v>One agent owns an in-progress task</x:v>
      </x:c>
      <x:c r="I7" s="15" t="str">
        <x:v>Use claim leases for exclusive work and explicit collaborative work modes</x:v>
      </x:c>
    </x:row>
    <x:row r="8">
      <x:c r="A8" s="15" t="str">
        <x:v>Dependency</x:v>
      </x:c>
      <x:c r="B8" s="15" t="str">
        <x:v>blocked/blocking relation</x:v>
      </x:c>
      <x:c r="C8" s="15" t="str">
        <x:v>Bi-directional</x:v>
      </x:c>
      <x:c r="D8" s="15" t="str">
        <x:v>CELL OS graph</x:v>
      </x:c>
      <x:c r="E8" s="15" t="str">
        <x:v>Reconcile cycles carefully</x:v>
      </x:c>
      <x:c r="F8" s="15"/>
      <x:c r="G8" s="15" t="str">
        <x:v>Org chart</x:v>
      </x:c>
      <x:c r="H8" s="15" t="str">
        <x:v>Manager/reporting hierarchy</x:v>
      </x:c>
      <x:c r="I8" s="15" t="str">
        <x:v>Support hierarchy but also pipeline/swarm/council/hybrid formations</x:v>
      </x:c>
    </x:row>
    <x:row r="9">
      <x:c r="A9" s="15" t="str">
        <x:v>Human update</x:v>
      </x:c>
      <x:c r="B9" s="15" t="str">
        <x:v>Project update/comment</x:v>
      </x:c>
      <x:c r="C9" s="15" t="str">
        <x:v>Linear -&gt; CELL summary + CELL -&gt; Linear status</x:v>
      </x:c>
      <x:c r="D9" s="15" t="str">
        <x:v>Human/Linear for narrative</x:v>
      </x:c>
      <x:c r="E9" s="15" t="str">
        <x:v>Never treat comment as evidence</x:v>
      </x:c>
      <x:c r="F9" s="15"/>
      <x:c r="G9" s="15" t="str">
        <x:v>Audit trail</x:v>
      </x:c>
      <x:c r="H9" s="15" t="str">
        <x:v>Task comments + run history</x:v>
      </x:c>
      <x:c r="I9" s="15" t="str">
        <x:v>Typed events + Evidence Ledger + Assurance Receipt</x:v>
      </x:c>
    </x:row>
    <x:row r="10">
      <x:c r="A10" s="15" t="str">
        <x:v>Cell delegation</x:v>
      </x:c>
      <x:c r="B10" s="15" t="str">
        <x:v>Agent assignment / mention</x:v>
      </x:c>
      <x:c r="C10" s="15" t="str">
        <x:v>Linear -&gt; CELL</x:v>
      </x:c>
      <x:c r="D10" s="15" t="str">
        <x:v>Linear entry point; CELL runtime</x:v>
      </x:c>
      <x:c r="E10" s="15" t="str">
        <x:v>Human remains accountable</x:v>
      </x:c>
      <x:c r="F10" s="15"/>
      <x:c r="G10" s="15"/>
      <x:c r="H10" s="15"/>
      <x:c r="I10" s="15"/>
    </x:row>
    <x:row r="11">
      <x:c r="A11" s="15" t="str">
        <x:v>Evidence</x:v>
      </x:c>
      <x:c r="B11" s="15" t="str">
        <x:v>Attachment/link only</x:v>
      </x:c>
      <x:c r="C11" s="15" t="str">
        <x:v>CELL -&gt; Linear</x:v>
      </x:c>
      <x:c r="D11" s="15" t="str">
        <x:v>CELL OS Evidence Ledger</x:v>
      </x:c>
      <x:c r="E11" s="15" t="str">
        <x:v>Linear contains pointer, not authoritative receipt</x:v>
      </x:c>
      <x:c r="F11" s="15"/>
      <x:c r="G11" s="15"/>
      <x:c r="H11" s="15"/>
      <x:c r="I11" s="15"/>
    </x:row>
    <x:row r="12">
      <x:c r="A12" s="15" t="str">
        <x:v>Run</x:v>
      </x:c>
      <x:c r="B12" s="15" t="str">
        <x:v>No direct equivalent</x:v>
      </x:c>
      <x:c r="C12" s="15" t="str">
        <x:v>CELL only</x:v>
      </x:c>
      <x:c r="D12" s="15" t="str">
        <x:v>CELL OS</x:v>
      </x:c>
      <x:c r="E12" s="15" t="str">
        <x:v>Expose summary via comment/update if useful</x:v>
      </x:c>
      <x:c r="F12" s="15"/>
      <x:c r="G12" s="15"/>
      <x:c r="H12" s="15"/>
      <x:c r="I12" s="15"/>
    </x:row>
    <x:row r="13">
      <x:c r="A13" s="15" t="str">
        <x:v>Cell Image / topology</x:v>
      </x:c>
      <x:c r="B13" s="15" t="str">
        <x:v>No direct equivalent</x:v>
      </x:c>
      <x:c r="C13" s="15" t="str">
        <x:v>CELL only</x:v>
      </x:c>
      <x:c r="D13" s="15" t="str">
        <x:v>CELL OS</x:v>
      </x:c>
      <x:c r="E13" s="15" t="str">
        <x:v>Do not encode as labels</x:v>
      </x:c>
      <x:c r="F13" s="15"/>
      <x:c r="G13" s="15"/>
      <x:c r="H13" s="15"/>
      <x:c r="I13" s="15"/>
    </x:row>
    <x:row r="14">
      <x:c r="A14" s="15" t="str">
        <x:v>Shadow run</x:v>
      </x:c>
      <x:c r="B14" s="15" t="str">
        <x:v>No direct equivalent</x:v>
      </x:c>
      <x:c r="C14" s="15" t="str">
        <x:v>CELL only</x:v>
      </x:c>
      <x:c r="D14" s="15" t="str">
        <x:v>CELL OS</x:v>
      </x:c>
      <x:c r="E14" s="15" t="str">
        <x:v>Must not alter Linear status</x:v>
      </x:c>
      <x:c r="F14" s="15"/>
      <x:c r="G14" s="15"/>
      <x:c r="H14" s="15"/>
      <x:c r="I14" s="15"/>
    </x:row>
    <x:row r="15">
      <x:c r="A15" s="15" t="str">
        <x:v>Assurance Receipt</x:v>
      </x:c>
      <x:c r="B15" s="15" t="str">
        <x:v>Document/link</x:v>
      </x:c>
      <x:c r="C15" s="15" t="str">
        <x:v>CELL -&gt; Linear</x:v>
      </x:c>
      <x:c r="D15" s="15" t="str">
        <x:v>CELL OS</x:v>
      </x:c>
      <x:c r="E15" s="15" t="str">
        <x:v>Attach verified result to project/issue</x:v>
      </x:c>
      <x:c r="F15" s="15"/>
      <x:c r="G15" s="15"/>
      <x:c r="H15" s="15"/>
      <x:c r="I15" s="1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5" hidden="0" customWidth="1"/>
    <x:col min="4" max="4" width="10" hidden="0" customWidth="1"/>
    <x:col min="5" max="5" width="45" hidden="0" customWidth="1"/>
    <x:col min="6" max="6" width="40" hidden="0" customWidth="1"/>
    <x:col min="7" max="7" width="14" hidden="0" customWidth="1"/>
  </x:cols>
  <x:sheetData>
    <x:row r="1">
      <x:c r="A1" s="14" t="str">
        <x:v>ID</x:v>
      </x:c>
      <x:c r="B1" s="14" t="str">
        <x:v>Topic</x:v>
      </x:c>
      <x:c r="C1" s="14" t="str">
        <x:v>Question</x:v>
      </x:c>
      <x:c r="D1" s="14" t="str">
        <x:v>Priority</x:v>
      </x:c>
      <x:c r="E1" s="14" t="str">
        <x:v>Experiment</x:v>
      </x:c>
      <x:c r="F1" s="14" t="str">
        <x:v>Primary metrics</x:v>
      </x:c>
      <x:c r="G1" s="14" t="str">
        <x:v>Maturity</x:v>
      </x:c>
    </x:row>
    <x:row r="2">
      <x:c r="A2" s="15" t="str">
        <x:v>R-01</x:v>
      </x:c>
      <x:c r="B2" s="15" t="str">
        <x:v>Mission Hypergraph</x:v>
      </x:c>
      <x:c r="C2" s="15" t="str">
        <x:v>Does a typed mission graph improve blocker/critical-path accuracy vs stage lists?</x:v>
      </x:c>
      <x:c r="D2" s="15" t="str">
        <x:v>P0</x:v>
      </x:c>
      <x:c r="E2" s="15" t="str">
        <x:v>Replay 30 real missions</x:v>
      </x:c>
      <x:c r="F2" s="15" t="str">
        <x:v>Blocked minutes; status accuracy; time-to-green</x:v>
      </x:c>
      <x:c r="G2" s="15" t="str">
        <x:v>Research</x:v>
      </x:c>
    </x:row>
    <x:row r="3">
      <x:c r="A3" s="15" t="str">
        <x:v>R-02</x:v>
      </x:c>
      <x:c r="B3" s="15" t="str">
        <x:v>Evidence-backed completion</x:v>
      </x:c>
      <x:c r="C3" s="15" t="str">
        <x:v>Does positive assertion gating reduce false-green outcomes?</x:v>
      </x:c>
      <x:c r="D3" s="15" t="str">
        <x:v>P0</x:v>
      </x:c>
      <x:c r="E3" s="15" t="str">
        <x:v>Inject recorded false-green cases</x:v>
      </x:c>
      <x:c r="F3" s="15" t="str">
        <x:v>False-green rate; rework; escaped defect</x:v>
      </x:c>
      <x:c r="G3" s="15" t="str">
        <x:v>Research</x:v>
      </x:c>
    </x:row>
    <x:row r="4">
      <x:c r="A4" s="15" t="str">
        <x:v>R-03</x:v>
      </x:c>
      <x:c r="B4" s="15" t="str">
        <x:v>WorkGraph agent API</x:v>
      </x:c>
      <x:c r="C4" s="15" t="str">
        <x:v>Can Cells safely create/update child work without board thrash?</x:v>
      </x:c>
      <x:c r="D4" s="15" t="str">
        <x:v>P0</x:v>
      </x:c>
      <x:c r="E4" s="15" t="str">
        <x:v>Simulated multi-Cell planning tasks</x:v>
      </x:c>
      <x:c r="F4" s="15" t="str">
        <x:v>Duplicate tasks; orphan tasks; audit completeness</x:v>
      </x:c>
      <x:c r="G4" s="15" t="str">
        <x:v>Research</x:v>
      </x:c>
    </x:row>
    <x:row r="5">
      <x:c r="A5" s="15" t="str">
        <x:v>R-04</x:v>
      </x:c>
      <x:c r="B5" s="15" t="str">
        <x:v>Linear bridge</x:v>
      </x:c>
      <x:c r="C5" s="15" t="str">
        <x:v>Can field-level canonical ownership avoid sync conflicts?</x:v>
      </x:c>
      <x:c r="D5" s="15" t="str">
        <x:v>P0</x:v>
      </x:c>
      <x:c r="E5" s="15" t="str">
        <x:v>Webhook replay + concurrent edits</x:v>
      </x:c>
      <x:c r="F5" s="15" t="str">
        <x:v>Conflict rate; reconciliation time</x:v>
      </x:c>
      <x:c r="G5" s="15" t="str">
        <x:v>Research</x:v>
      </x:c>
    </x:row>
    <x:row r="6">
      <x:c r="A6" s="15" t="str">
        <x:v>R-05</x:v>
      </x:c>
      <x:c r="B6" s="15" t="str">
        <x:v>Context VM</x:v>
      </x:c>
      <x:c r="C6" s="15" t="str">
        <x:v>Does mission-scoped paging beat static full-context prompts?</x:v>
      </x:c>
      <x:c r="D6" s="15" t="str">
        <x:v>P1</x:v>
      </x:c>
      <x:c r="E6" s="15" t="str">
        <x:v>Held-out missions with long histories</x:v>
      </x:c>
      <x:c r="F6" s="15" t="str">
        <x:v>Success; tokens; stale-context errors</x:v>
      </x:c>
      <x:c r="G6" s="15" t="str">
        <x:v>Research</x:v>
      </x:c>
    </x:row>
    <x:row r="7">
      <x:c r="A7" s="15" t="str">
        <x:v>R-06</x:v>
      </x:c>
      <x:c r="B7" s="15" t="str">
        <x:v>Formation routing</x:v>
      </x:c>
      <x:c r="C7" s="15" t="str">
        <x:v>Can mission features predict solo vs swarm vs pipeline choice?</x:v>
      </x:c>
      <x:c r="D7" s="15" t="str">
        <x:v>P1</x:v>
      </x:c>
      <x:c r="E7" s="15" t="str">
        <x:v>Compare formations on matched task classes</x:v>
      </x:c>
      <x:c r="F7" s="15" t="str">
        <x:v>Outcome; cost; coordination overhead</x:v>
      </x:c>
      <x:c r="G7" s="15" t="str">
        <x:v>Research</x:v>
      </x:c>
    </x:row>
    <x:row r="8">
      <x:c r="A8" s="15" t="str">
        <x:v>R-07</x:v>
      </x:c>
      <x:c r="B8" s="15" t="str">
        <x:v>Shadow Twin</x:v>
      </x:c>
      <x:c r="C8" s="15" t="str">
        <x:v>Does counterfactual verification improve quality enough to justify extra cost?</x:v>
      </x:c>
      <x:c r="D8" s="15" t="str">
        <x:v>P1</x:v>
      </x:c>
      <x:c r="E8" s="15" t="str">
        <x:v>Primary vs primary+shadow</x:v>
      </x:c>
      <x:c r="F8" s="15" t="str">
        <x:v>Regression; evidence quality; cost</x:v>
      </x:c>
      <x:c r="G8" s="15" t="str">
        <x:v>Research</x:v>
      </x:c>
    </x:row>
    <x:row r="9">
      <x:c r="A9" s="15" t="str">
        <x:v>R-08</x:v>
      </x:c>
      <x:c r="B9" s="15" t="str">
        <x:v>Meta-tool distillation</x:v>
      </x:c>
      <x:c r="C9" s="15" t="str">
        <x:v>Which repeated agent traces can become deterministic tools safely?</x:v>
      </x:c>
      <x:c r="D9" s="15" t="str">
        <x:v>P1</x:v>
      </x:c>
      <x:c r="E9" s="15" t="str">
        <x:v>Mine successful traces; human review</x:v>
      </x:c>
      <x:c r="F9" s="15" t="str">
        <x:v>Cost reduction; correctness; drift</x:v>
      </x:c>
      <x:c r="G9" s="15" t="str">
        <x:v>Research</x:v>
      </x:c>
    </x:row>
    <x:row r="10">
      <x:c r="A10" s="15" t="str">
        <x:v>R-09</x:v>
      </x:c>
      <x:c r="B10" s="15" t="str">
        <x:v>Self-host reliability</x:v>
      </x:c>
      <x:c r="C10" s="15" t="str">
        <x:v>Can a bounded Reliability Cell reduce MTTR without unsafe mutation?</x:v>
      </x:c>
      <x:c r="D10" s="15" t="str">
        <x:v>P1</x:v>
      </x:c>
      <x:c r="E10" s="15" t="str">
        <x:v>Replay platform incidents</x:v>
      </x:c>
      <x:c r="F10" s="15" t="str">
        <x:v>MTTR; recurrence; escalation precision</x:v>
      </x:c>
      <x:c r="G10" s="15" t="str">
        <x:v>Research</x:v>
      </x:c>
    </x:row>
    <x:row r="11">
      <x:c r="A11" s="15" t="str">
        <x:v>R-10</x:v>
      </x:c>
      <x:c r="B11" s="15" t="str">
        <x:v>Federation routing</x:v>
      </x:c>
      <x:c r="C11" s="15" t="str">
        <x:v>Does locality-aware routing outperform naive broadcast?</x:v>
      </x:c>
      <x:c r="D11" s="15" t="str">
        <x:v>P2</x:v>
      </x:c>
      <x:c r="E11" s="15" t="str">
        <x:v>Two-node synthetic workload</x:v>
      </x:c>
      <x:c r="F11" s="15" t="str">
        <x:v>Latency; context movement; privacy failures</x:v>
      </x:c>
      <x:c r="G11" s="15" t="str">
        <x:v>Frontier</x:v>
      </x:c>
    </x:row>
  </x:sheetData>
  <x:pageMargins left="0.7" right="0.7" top="0.75" bottom="0.75" header="0.3" footer="0.3"/>
  <x:tableParts count="1">
    <x:tablePart xmlns:r="http://schemas.openxmlformats.org/officeDocument/2006/relationships" r:id="Rea470011ff2a450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70" hidden="0" customWidth="1"/>
  </x:cols>
  <x:sheetData>
    <x:row r="1">
      <x:c r="A1" s="14" t="str">
        <x:v>Gate</x:v>
      </x:c>
      <x:c r="B1" s="14" t="str">
        <x:v>Area</x:v>
      </x:c>
      <x:c r="C1" s="14" t="str">
        <x:v>Acceptance Gate</x:v>
      </x:c>
    </x:row>
    <x:row r="2">
      <x:c r="A2" s="15" t="str">
        <x:v>G0</x:v>
      </x:c>
      <x:c r="B2" s="15" t="str">
        <x:v>Architecture</x:v>
      </x:c>
      <x:c r="C2" s="15" t="str">
        <x:v>Core schemas versioned; WorkGraph contract and implementation-truth ledger active.</x:v>
      </x:c>
    </x:row>
    <x:row r="3">
      <x:c r="A3" s="15" t="str">
        <x:v>G1</x:v>
      </x:c>
      <x:c r="B3" s="15" t="str">
        <x:v>Runtime</x:v>
      </x:c>
      <x:c r="C3" s="15" t="str">
        <x:v>One real mission runs from immutable Cell Image; kernel controls resources and privileged capability calls.</x:v>
      </x:c>
    </x:row>
    <x:row r="4">
      <x:c r="A4" s="15" t="str">
        <x:v>G2</x:v>
      </x:c>
      <x:c r="B4" s="15" t="str">
        <x:v>Operator UX</x:v>
      </x:c>
      <x:c r="C4" s="15" t="str">
        <x:v>User can create/inspect/start/stop Cells and manage work without direct DB/runtime intervention.</x:v>
      </x:c>
    </x:row>
    <x:row r="5">
      <x:c r="A5" s="15" t="str">
        <x:v>G3</x:v>
      </x:c>
      <x:c r="B5" s="15" t="str">
        <x:v>Assurance</x:v>
      </x:c>
      <x:c r="C5" s="15" t="str">
        <x:v>A mission cannot become verified-success without positive evidence; replay and assurance receipt work.</x:v>
      </x:c>
    </x:row>
    <x:row r="6">
      <x:c r="A6" s="15" t="str">
        <x:v>G4</x:v>
      </x:c>
      <x:c r="B6" s="15" t="str">
        <x:v>Knowledge/Cognition</x:v>
      </x:c>
      <x:c r="C6" s="15" t="str">
        <x:v>Authoritative evidence is distinct from projections; retrieval is provenance-aware; cognition cannot bypass policy.</x:v>
      </x:c>
    </x:row>
    <x:row r="7">
      <x:c r="A7" s="15" t="str">
        <x:v>G5</x:v>
      </x:c>
      <x:c r="B7" s="15" t="str">
        <x:v>Evolution/Integrations</x:v>
      </x:c>
      <x:c r="C7" s="15" t="str">
        <x:v>Shadow runs have no unintended production side effects; external trackers remain projections, not authority.</x:v>
      </x:c>
    </x:row>
    <x:row r="8">
      <x:c r="A8" s="15" t="str">
        <x:v>G6</x:v>
      </x:c>
      <x:c r="B8" s="15" t="str">
        <x:v>Experience</x:v>
      </x:c>
      <x:c r="C8" s="15" t="str">
        <x:v>Professional and spatial/social shells are state-equivalent; accessibility and evidence-weighted incentives hold.</x:v>
      </x:c>
    </x:row>
    <x:row r="9">
      <x:c r="A9" s="15" t="str">
        <x:v>G7</x:v>
      </x:c>
      <x:c r="B9" s="15" t="str">
        <x:v>Federation</x:v>
      </x:c>
      <x:c r="C9" s="15" t="str">
        <x:v>Two independent nodes exchange identity/knowledge/capability under explicit trust and privacy policy.</x:v>
      </x:c>
    </x:row>
    <x:row r="10">
      <x:c r="A10" s="15" t="str">
        <x:v>G8</x:v>
      </x:c>
      <x:c r="B10" s="15" t="str">
        <x:v>Organism</x:v>
      </x:c>
      <x:c r="C10" s="15" t="str">
        <x:v>Structural changes are proposed/evaluated in shadow before production mutation.</x:v>
      </x:c>
    </x:row>
    <x:row r="11">
      <x:c r="A11" s="15" t="str">
        <x:v>V1</x:v>
      </x:c>
      <x:c r="B11" s="15" t="str">
        <x:v>Release</x:v>
      </x:c>
      <x:c r="C11" s="15" t="str">
        <x:v>Security, performance, recovery, docs, migration, beta and support readiness checklist passes.</x:v>
      </x:c>
    </x:row>
  </x:sheetData>
  <x:pageMargins left="0.7" right="0.7" top="0.75" bottom="0.75" header="0.3" footer="0.3"/>
</x:worksheet>
</file>